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41" sheetId="1" r:id="rId1"/>
    <sheet name="Ej35" sheetId="2" r:id="rId2"/>
  </sheets>
  <calcPr calcId="124519" fullCalcOnLoad="1"/>
</workbook>
</file>

<file path=xl/sharedStrings.xml><?xml version="1.0" encoding="utf-8"?>
<sst xmlns="http://schemas.openxmlformats.org/spreadsheetml/2006/main" count="43" uniqueCount="25">
  <si>
    <t>k</t>
  </si>
  <si>
    <t>m_max</t>
  </si>
  <si>
    <t>m0</t>
  </si>
  <si>
    <t>h</t>
  </si>
  <si>
    <t>t_max</t>
  </si>
  <si>
    <t>METODO EXACTO (analítico)</t>
  </si>
  <si>
    <t>n</t>
  </si>
  <si>
    <t>t</t>
  </si>
  <si>
    <t>m_exacta</t>
  </si>
  <si>
    <t>METODO DE EULER</t>
  </si>
  <si>
    <t>m_Euler</t>
  </si>
  <si>
    <t>f(t,m)</t>
  </si>
  <si>
    <t>METODO DE HEUN</t>
  </si>
  <si>
    <t>m_Heun</t>
  </si>
  <si>
    <t>m_estrella</t>
  </si>
  <si>
    <t>f_estrella</t>
  </si>
  <si>
    <t>a</t>
  </si>
  <si>
    <t>b</t>
  </si>
  <si>
    <t>w0</t>
  </si>
  <si>
    <t>w_max = (a/b)^3</t>
  </si>
  <si>
    <t>w_exacta</t>
  </si>
  <si>
    <t>w_Euler</t>
  </si>
  <si>
    <t>f(t,w)</t>
  </si>
  <si>
    <t>w_Heun</t>
  </si>
  <si>
    <t>w_estrella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</si>
</sst>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Crecimiento m(t)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'Ej41'!$C$8</c:f>
              <c:strCache>
                <c:ptCount val="1"/>
                <c:pt idx="0">
                  <c:v>m_exacta</c:v>
                </c:pt>
              </c:strCache>
            </c:strRef>
          </c:tx>
          <c:marker>
            <c:symbol val="none"/>
          </c:marker>
          <c:cat>
            <c:numRef>
              <c:f>'Ej41'!$B$9:$B$49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cat>
          <c:val>
            <c:numRef>
              <c:f>'Ej41'!$C$9:$C$49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"/>
          <c:order val="1"/>
          <c:tx>
            <c:strRef>
              <c:f>'Ej41'!$C$53</c:f>
              <c:strCache>
                <c:ptCount val="1"/>
                <c:pt idx="0">
                  <c:v>m_Euler</c:v>
                </c:pt>
              </c:strCache>
            </c:strRef>
          </c:tx>
          <c:marker>
            <c:symbol val="none"/>
          </c:marker>
          <c:cat>
            <c:numRef>
              <c:f>'Ej41'!$B$54:$B$94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cat>
          <c:val>
            <c:numRef>
              <c:f>'Ej41'!$C$54:$C$94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2"/>
          <c:order val="2"/>
          <c:tx>
            <c:strRef>
              <c:f>'Ej41'!$C$98</c:f>
              <c:strCache>
                <c:ptCount val="1"/>
                <c:pt idx="0">
                  <c:v>m_Heun</c:v>
                </c:pt>
              </c:strCache>
            </c:strRef>
          </c:tx>
          <c:marker>
            <c:symbol val="none"/>
          </c:marker>
          <c:cat>
            <c:numRef>
              <c:f>'Ej41'!$B$99:$B$139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cat>
          <c:val>
            <c:numRef>
              <c:f>'Ej41'!$C$99:$C$139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(días)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 (kg)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Crecimiento w(t)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'Ej35'!$C$9</c:f>
              <c:strCache>
                <c:ptCount val="1"/>
                <c:pt idx="0">
                  <c:v>w_exacta</c:v>
                </c:pt>
              </c:strCache>
            </c:strRef>
          </c:tx>
          <c:marker>
            <c:symbol val="none"/>
          </c:marker>
          <c:cat>
            <c:numRef>
              <c:f>'Ej35'!$B$10:$B$50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cat>
          <c:val>
            <c:numRef>
              <c:f>'Ej35'!$C$10:$C$50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"/>
          <c:order val="1"/>
          <c:tx>
            <c:strRef>
              <c:f>'Ej35'!$C$54</c:f>
              <c:strCache>
                <c:ptCount val="1"/>
                <c:pt idx="0">
                  <c:v>w_Euler</c:v>
                </c:pt>
              </c:strCache>
            </c:strRef>
          </c:tx>
          <c:marker>
            <c:symbol val="none"/>
          </c:marker>
          <c:cat>
            <c:numRef>
              <c:f>'Ej35'!$B$55:$B$95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cat>
          <c:val>
            <c:numRef>
              <c:f>'Ej35'!$C$55:$C$95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2"/>
          <c:order val="2"/>
          <c:tx>
            <c:strRef>
              <c:f>'Ej35'!$C$99</c:f>
              <c:strCache>
                <c:ptCount val="1"/>
                <c:pt idx="0">
                  <c:v>w_Heun</c:v>
                </c:pt>
              </c:strCache>
            </c:strRef>
          </c:tx>
          <c:marker>
            <c:symbol val="none"/>
          </c:marker>
          <c:cat>
            <c:numRef>
              <c:f>'Ej35'!$B$100:$B$140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cat>
          <c:val>
            <c:numRef>
              <c:f>'Ej35'!$C$100:$C$140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(días)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 (lb)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304800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sheetData>
    <row r="1" spans="1:3">
      <c r="A1" t="s">
        <v>0</v>
      </c>
      <c r="B1">
        <v>0.3</v>
      </c>
    </row>
    <row r="2" spans="1:3">
      <c r="A2" t="s">
        <v>1</v>
      </c>
      <c r="B2">
        <v>300</v>
      </c>
    </row>
    <row r="3" spans="1:3">
      <c r="A3" t="s">
        <v>2</v>
      </c>
      <c r="B3">
        <v>1</v>
      </c>
    </row>
    <row r="4" spans="1:3">
      <c r="A4" t="s">
        <v>3</v>
      </c>
      <c r="B4">
        <v>10</v>
      </c>
    </row>
    <row r="5" spans="1:3">
      <c r="A5" t="s">
        <v>4</v>
      </c>
      <c r="B5">
        <v>400</v>
      </c>
    </row>
    <row r="7" spans="1:3">
      <c r="A7" t="s">
        <v>5</v>
      </c>
    </row>
    <row r="8" spans="1:3">
      <c r="A8" t="s">
        <v>6</v>
      </c>
      <c r="B8" t="s">
        <v>7</v>
      </c>
      <c r="C8" t="s">
        <v>8</v>
      </c>
    </row>
    <row r="9" spans="1:3">
      <c r="A9">
        <v>0</v>
      </c>
      <c r="B9">
        <v>0</v>
      </c>
      <c r="C9">
        <f>(B2^(1/4) + (B3^(1/4) - B2^(1/4)) * EXP(-B1*B9/(4*B2^(1/4))))^4</f>
        <v>0</v>
      </c>
    </row>
    <row r="10" spans="1:3">
      <c r="A10">
        <f>A9+1</f>
        <v>0</v>
      </c>
      <c r="B10">
        <f>B9+$B$4</f>
        <v>0</v>
      </c>
      <c r="C10">
        <f>(B2^(1/4) + (B3^(1/4) - B2^(1/4)) * EXP(-B1*B10/(4*B2^(1/4))))^4</f>
        <v>0</v>
      </c>
    </row>
    <row r="11" spans="1:3">
      <c r="A11">
        <f>A10+1</f>
        <v>0</v>
      </c>
      <c r="B11">
        <f>B10+$B$4</f>
        <v>0</v>
      </c>
      <c r="C11">
        <f>(B2^(1/4) + (B3^(1/4) - B2^(1/4)) * EXP(-B1*B11/(4*B2^(1/4))))^4</f>
        <v>0</v>
      </c>
    </row>
    <row r="12" spans="1:3">
      <c r="A12">
        <f>A11+1</f>
        <v>0</v>
      </c>
      <c r="B12">
        <f>B11+$B$4</f>
        <v>0</v>
      </c>
      <c r="C12">
        <f>(B2^(1/4) + (B3^(1/4) - B2^(1/4)) * EXP(-B1*B12/(4*B2^(1/4))))^4</f>
        <v>0</v>
      </c>
    </row>
    <row r="13" spans="1:3">
      <c r="A13">
        <f>A12+1</f>
        <v>0</v>
      </c>
      <c r="B13">
        <f>B12+$B$4</f>
        <v>0</v>
      </c>
      <c r="C13">
        <f>(B2^(1/4) + (B3^(1/4) - B2^(1/4)) * EXP(-B1*B13/(4*B2^(1/4))))^4</f>
        <v>0</v>
      </c>
    </row>
    <row r="14" spans="1:3">
      <c r="A14">
        <f>A13+1</f>
        <v>0</v>
      </c>
      <c r="B14">
        <f>B13+$B$4</f>
        <v>0</v>
      </c>
      <c r="C14">
        <f>(B2^(1/4) + (B3^(1/4) - B2^(1/4)) * EXP(-B1*B14/(4*B2^(1/4))))^4</f>
        <v>0</v>
      </c>
    </row>
    <row r="15" spans="1:3">
      <c r="A15">
        <f>A14+1</f>
        <v>0</v>
      </c>
      <c r="B15">
        <f>B14+$B$4</f>
        <v>0</v>
      </c>
      <c r="C15">
        <f>(B2^(1/4) + (B3^(1/4) - B2^(1/4)) * EXP(-B1*B15/(4*B2^(1/4))))^4</f>
        <v>0</v>
      </c>
    </row>
    <row r="16" spans="1:3">
      <c r="A16">
        <f>A15+1</f>
        <v>0</v>
      </c>
      <c r="B16">
        <f>B15+$B$4</f>
        <v>0</v>
      </c>
      <c r="C16">
        <f>(B2^(1/4) + (B3^(1/4) - B2^(1/4)) * EXP(-B1*B16/(4*B2^(1/4))))^4</f>
        <v>0</v>
      </c>
    </row>
    <row r="17" spans="1:3">
      <c r="A17">
        <f>A16+1</f>
        <v>0</v>
      </c>
      <c r="B17">
        <f>B16+$B$4</f>
        <v>0</v>
      </c>
      <c r="C17">
        <f>(B2^(1/4) + (B3^(1/4) - B2^(1/4)) * EXP(-B1*B17/(4*B2^(1/4))))^4</f>
        <v>0</v>
      </c>
    </row>
    <row r="18" spans="1:3">
      <c r="A18">
        <f>A17+1</f>
        <v>0</v>
      </c>
      <c r="B18">
        <f>B17+$B$4</f>
        <v>0</v>
      </c>
      <c r="C18">
        <f>(B2^(1/4) + (B3^(1/4) - B2^(1/4)) * EXP(-B1*B18/(4*B2^(1/4))))^4</f>
        <v>0</v>
      </c>
    </row>
    <row r="19" spans="1:3">
      <c r="A19">
        <f>A18+1</f>
        <v>0</v>
      </c>
      <c r="B19">
        <f>B18+$B$4</f>
        <v>0</v>
      </c>
      <c r="C19">
        <f>(B2^(1/4) + (B3^(1/4) - B2^(1/4)) * EXP(-B1*B19/(4*B2^(1/4))))^4</f>
        <v>0</v>
      </c>
    </row>
    <row r="20" spans="1:3">
      <c r="A20">
        <f>A19+1</f>
        <v>0</v>
      </c>
      <c r="B20">
        <f>B19+$B$4</f>
        <v>0</v>
      </c>
      <c r="C20">
        <f>(B2^(1/4) + (B3^(1/4) - B2^(1/4)) * EXP(-B1*B20/(4*B2^(1/4))))^4</f>
        <v>0</v>
      </c>
    </row>
    <row r="21" spans="1:3">
      <c r="A21">
        <f>A20+1</f>
        <v>0</v>
      </c>
      <c r="B21">
        <f>B20+$B$4</f>
        <v>0</v>
      </c>
      <c r="C21">
        <f>(B2^(1/4) + (B3^(1/4) - B2^(1/4)) * EXP(-B1*B21/(4*B2^(1/4))))^4</f>
        <v>0</v>
      </c>
    </row>
    <row r="22" spans="1:3">
      <c r="A22">
        <f>A21+1</f>
        <v>0</v>
      </c>
      <c r="B22">
        <f>B21+$B$4</f>
        <v>0</v>
      </c>
      <c r="C22">
        <f>(B2^(1/4) + (B3^(1/4) - B2^(1/4)) * EXP(-B1*B22/(4*B2^(1/4))))^4</f>
        <v>0</v>
      </c>
    </row>
    <row r="23" spans="1:3">
      <c r="A23">
        <f>A22+1</f>
        <v>0</v>
      </c>
      <c r="B23">
        <f>B22+$B$4</f>
        <v>0</v>
      </c>
      <c r="C23">
        <f>(B2^(1/4) + (B3^(1/4) - B2^(1/4)) * EXP(-B1*B23/(4*B2^(1/4))))^4</f>
        <v>0</v>
      </c>
    </row>
    <row r="24" spans="1:3">
      <c r="A24">
        <f>A23+1</f>
        <v>0</v>
      </c>
      <c r="B24">
        <f>B23+$B$4</f>
        <v>0</v>
      </c>
      <c r="C24">
        <f>(B2^(1/4) + (B3^(1/4) - B2^(1/4)) * EXP(-B1*B24/(4*B2^(1/4))))^4</f>
        <v>0</v>
      </c>
    </row>
    <row r="25" spans="1:3">
      <c r="A25">
        <f>A24+1</f>
        <v>0</v>
      </c>
      <c r="B25">
        <f>B24+$B$4</f>
        <v>0</v>
      </c>
      <c r="C25">
        <f>(B2^(1/4) + (B3^(1/4) - B2^(1/4)) * EXP(-B1*B25/(4*B2^(1/4))))^4</f>
        <v>0</v>
      </c>
    </row>
    <row r="26" spans="1:3">
      <c r="A26">
        <f>A25+1</f>
        <v>0</v>
      </c>
      <c r="B26">
        <f>B25+$B$4</f>
        <v>0</v>
      </c>
      <c r="C26">
        <f>(B2^(1/4) + (B3^(1/4) - B2^(1/4)) * EXP(-B1*B26/(4*B2^(1/4))))^4</f>
        <v>0</v>
      </c>
    </row>
    <row r="27" spans="1:3">
      <c r="A27">
        <f>A26+1</f>
        <v>0</v>
      </c>
      <c r="B27">
        <f>B26+$B$4</f>
        <v>0</v>
      </c>
      <c r="C27">
        <f>(B2^(1/4) + (B3^(1/4) - B2^(1/4)) * EXP(-B1*B27/(4*B2^(1/4))))^4</f>
        <v>0</v>
      </c>
    </row>
    <row r="28" spans="1:3">
      <c r="A28">
        <f>A27+1</f>
        <v>0</v>
      </c>
      <c r="B28">
        <f>B27+$B$4</f>
        <v>0</v>
      </c>
      <c r="C28">
        <f>(B2^(1/4) + (B3^(1/4) - B2^(1/4)) * EXP(-B1*B28/(4*B2^(1/4))))^4</f>
        <v>0</v>
      </c>
    </row>
    <row r="29" spans="1:3">
      <c r="A29">
        <f>A28+1</f>
        <v>0</v>
      </c>
      <c r="B29">
        <f>B28+$B$4</f>
        <v>0</v>
      </c>
      <c r="C29">
        <f>(B2^(1/4) + (B3^(1/4) - B2^(1/4)) * EXP(-B1*B29/(4*B2^(1/4))))^4</f>
        <v>0</v>
      </c>
    </row>
    <row r="30" spans="1:3">
      <c r="A30">
        <f>A29+1</f>
        <v>0</v>
      </c>
      <c r="B30">
        <f>B29+$B$4</f>
        <v>0</v>
      </c>
      <c r="C30">
        <f>(B2^(1/4) + (B3^(1/4) - B2^(1/4)) * EXP(-B1*B30/(4*B2^(1/4))))^4</f>
        <v>0</v>
      </c>
    </row>
    <row r="31" spans="1:3">
      <c r="A31">
        <f>A30+1</f>
        <v>0</v>
      </c>
      <c r="B31">
        <f>B30+$B$4</f>
        <v>0</v>
      </c>
      <c r="C31">
        <f>(B2^(1/4) + (B3^(1/4) - B2^(1/4)) * EXP(-B1*B31/(4*B2^(1/4))))^4</f>
        <v>0</v>
      </c>
    </row>
    <row r="32" spans="1:3">
      <c r="A32">
        <f>A31+1</f>
        <v>0</v>
      </c>
      <c r="B32">
        <f>B31+$B$4</f>
        <v>0</v>
      </c>
      <c r="C32">
        <f>(B2^(1/4) + (B3^(1/4) - B2^(1/4)) * EXP(-B1*B32/(4*B2^(1/4))))^4</f>
        <v>0</v>
      </c>
    </row>
    <row r="33" spans="1:3">
      <c r="A33">
        <f>A32+1</f>
        <v>0</v>
      </c>
      <c r="B33">
        <f>B32+$B$4</f>
        <v>0</v>
      </c>
      <c r="C33">
        <f>(B2^(1/4) + (B3^(1/4) - B2^(1/4)) * EXP(-B1*B33/(4*B2^(1/4))))^4</f>
        <v>0</v>
      </c>
    </row>
    <row r="34" spans="1:3">
      <c r="A34">
        <f>A33+1</f>
        <v>0</v>
      </c>
      <c r="B34">
        <f>B33+$B$4</f>
        <v>0</v>
      </c>
      <c r="C34">
        <f>(B2^(1/4) + (B3^(1/4) - B2^(1/4)) * EXP(-B1*B34/(4*B2^(1/4))))^4</f>
        <v>0</v>
      </c>
    </row>
    <row r="35" spans="1:3">
      <c r="A35">
        <f>A34+1</f>
        <v>0</v>
      </c>
      <c r="B35">
        <f>B34+$B$4</f>
        <v>0</v>
      </c>
      <c r="C35">
        <f>(B2^(1/4) + (B3^(1/4) - B2^(1/4)) * EXP(-B1*B35/(4*B2^(1/4))))^4</f>
        <v>0</v>
      </c>
    </row>
    <row r="36" spans="1:3">
      <c r="A36">
        <f>A35+1</f>
        <v>0</v>
      </c>
      <c r="B36">
        <f>B35+$B$4</f>
        <v>0</v>
      </c>
      <c r="C36">
        <f>(B2^(1/4) + (B3^(1/4) - B2^(1/4)) * EXP(-B1*B36/(4*B2^(1/4))))^4</f>
        <v>0</v>
      </c>
    </row>
    <row r="37" spans="1:3">
      <c r="A37">
        <f>A36+1</f>
        <v>0</v>
      </c>
      <c r="B37">
        <f>B36+$B$4</f>
        <v>0</v>
      </c>
      <c r="C37">
        <f>(B2^(1/4) + (B3^(1/4) - B2^(1/4)) * EXP(-B1*B37/(4*B2^(1/4))))^4</f>
        <v>0</v>
      </c>
    </row>
    <row r="38" spans="1:3">
      <c r="A38">
        <f>A37+1</f>
        <v>0</v>
      </c>
      <c r="B38">
        <f>B37+$B$4</f>
        <v>0</v>
      </c>
      <c r="C38">
        <f>(B2^(1/4) + (B3^(1/4) - B2^(1/4)) * EXP(-B1*B38/(4*B2^(1/4))))^4</f>
        <v>0</v>
      </c>
    </row>
    <row r="39" spans="1:3">
      <c r="A39">
        <f>A38+1</f>
        <v>0</v>
      </c>
      <c r="B39">
        <f>B38+$B$4</f>
        <v>0</v>
      </c>
      <c r="C39">
        <f>(B2^(1/4) + (B3^(1/4) - B2^(1/4)) * EXP(-B1*B39/(4*B2^(1/4))))^4</f>
        <v>0</v>
      </c>
    </row>
    <row r="40" spans="1:3">
      <c r="A40">
        <f>A39+1</f>
        <v>0</v>
      </c>
      <c r="B40">
        <f>B39+$B$4</f>
        <v>0</v>
      </c>
      <c r="C40">
        <f>(B2^(1/4) + (B3^(1/4) - B2^(1/4)) * EXP(-B1*B40/(4*B2^(1/4))))^4</f>
        <v>0</v>
      </c>
    </row>
    <row r="41" spans="1:3">
      <c r="A41">
        <f>A40+1</f>
        <v>0</v>
      </c>
      <c r="B41">
        <f>B40+$B$4</f>
        <v>0</v>
      </c>
      <c r="C41">
        <f>(B2^(1/4) + (B3^(1/4) - B2^(1/4)) * EXP(-B1*B41/(4*B2^(1/4))))^4</f>
        <v>0</v>
      </c>
    </row>
    <row r="42" spans="1:3">
      <c r="A42">
        <f>A41+1</f>
        <v>0</v>
      </c>
      <c r="B42">
        <f>B41+$B$4</f>
        <v>0</v>
      </c>
      <c r="C42">
        <f>(B2^(1/4) + (B3^(1/4) - B2^(1/4)) * EXP(-B1*B42/(4*B2^(1/4))))^4</f>
        <v>0</v>
      </c>
    </row>
    <row r="43" spans="1:3">
      <c r="A43">
        <f>A42+1</f>
        <v>0</v>
      </c>
      <c r="B43">
        <f>B42+$B$4</f>
        <v>0</v>
      </c>
      <c r="C43">
        <f>(B2^(1/4) + (B3^(1/4) - B2^(1/4)) * EXP(-B1*B43/(4*B2^(1/4))))^4</f>
        <v>0</v>
      </c>
    </row>
    <row r="44" spans="1:3">
      <c r="A44">
        <f>A43+1</f>
        <v>0</v>
      </c>
      <c r="B44">
        <f>B43+$B$4</f>
        <v>0</v>
      </c>
      <c r="C44">
        <f>(B2^(1/4) + (B3^(1/4) - B2^(1/4)) * EXP(-B1*B44/(4*B2^(1/4))))^4</f>
        <v>0</v>
      </c>
    </row>
    <row r="45" spans="1:3">
      <c r="A45">
        <f>A44+1</f>
        <v>0</v>
      </c>
      <c r="B45">
        <f>B44+$B$4</f>
        <v>0</v>
      </c>
      <c r="C45">
        <f>(B2^(1/4) + (B3^(1/4) - B2^(1/4)) * EXP(-B1*B45/(4*B2^(1/4))))^4</f>
        <v>0</v>
      </c>
    </row>
    <row r="46" spans="1:3">
      <c r="A46">
        <f>A45+1</f>
        <v>0</v>
      </c>
      <c r="B46">
        <f>B45+$B$4</f>
        <v>0</v>
      </c>
      <c r="C46">
        <f>(B2^(1/4) + (B3^(1/4) - B2^(1/4)) * EXP(-B1*B46/(4*B2^(1/4))))^4</f>
        <v>0</v>
      </c>
    </row>
    <row r="47" spans="1:3">
      <c r="A47">
        <f>A46+1</f>
        <v>0</v>
      </c>
      <c r="B47">
        <f>B46+$B$4</f>
        <v>0</v>
      </c>
      <c r="C47">
        <f>(B2^(1/4) + (B3^(1/4) - B2^(1/4)) * EXP(-B1*B47/(4*B2^(1/4))))^4</f>
        <v>0</v>
      </c>
    </row>
    <row r="48" spans="1:3">
      <c r="A48">
        <f>A47+1</f>
        <v>0</v>
      </c>
      <c r="B48">
        <f>B47+$B$4</f>
        <v>0</v>
      </c>
      <c r="C48">
        <f>(B2^(1/4) + (B3^(1/4) - B2^(1/4)) * EXP(-B1*B48/(4*B2^(1/4))))^4</f>
        <v>0</v>
      </c>
    </row>
    <row r="49" spans="1:4">
      <c r="A49">
        <f>A48+1</f>
        <v>0</v>
      </c>
      <c r="B49">
        <f>B48+$B$4</f>
        <v>0</v>
      </c>
      <c r="C49">
        <f>(B2^(1/4) + (B3^(1/4) - B2^(1/4)) * EXP(-B1*B49/(4*B2^(1/4))))^4</f>
        <v>0</v>
      </c>
    </row>
    <row r="52" spans="1:4">
      <c r="A52" t="s">
        <v>9</v>
      </c>
    </row>
    <row r="53" spans="1:4">
      <c r="A53" t="s">
        <v>6</v>
      </c>
      <c r="B53" t="s">
        <v>7</v>
      </c>
      <c r="C53" t="s">
        <v>10</v>
      </c>
      <c r="D53" t="s">
        <v>11</v>
      </c>
    </row>
    <row r="54" spans="1:4">
      <c r="A54">
        <v>0</v>
      </c>
      <c r="B54">
        <v>0</v>
      </c>
      <c r="C54">
        <f>$B$3</f>
        <v>0</v>
      </c>
      <c r="D54">
        <f>$B$1*C54^(3/4)*(1-(C54/$B$2)^(1/4))</f>
        <v>0</v>
      </c>
    </row>
    <row r="55" spans="1:4">
      <c r="A55">
        <f>A54+1</f>
        <v>0</v>
      </c>
      <c r="B55">
        <f>B54+$B$4</f>
        <v>0</v>
      </c>
      <c r="C55">
        <f>C54+$B$4*D54</f>
        <v>0</v>
      </c>
      <c r="D55">
        <f>$B$1*C55^(3/4)*(1-(C55/$B$2)^(1/4))</f>
        <v>0</v>
      </c>
    </row>
    <row r="56" spans="1:4">
      <c r="A56">
        <f>A55+1</f>
        <v>0</v>
      </c>
      <c r="B56">
        <f>B55+$B$4</f>
        <v>0</v>
      </c>
      <c r="C56">
        <f>C55+$B$4*D55</f>
        <v>0</v>
      </c>
      <c r="D56">
        <f>$B$1*C56^(3/4)*(1-(C56/$B$2)^(1/4))</f>
        <v>0</v>
      </c>
    </row>
    <row r="57" spans="1:4">
      <c r="A57">
        <f>A56+1</f>
        <v>0</v>
      </c>
      <c r="B57">
        <f>B56+$B$4</f>
        <v>0</v>
      </c>
      <c r="C57">
        <f>C56+$B$4*D56</f>
        <v>0</v>
      </c>
      <c r="D57">
        <f>$B$1*C57^(3/4)*(1-(C57/$B$2)^(1/4))</f>
        <v>0</v>
      </c>
    </row>
    <row r="58" spans="1:4">
      <c r="A58">
        <f>A57+1</f>
        <v>0</v>
      </c>
      <c r="B58">
        <f>B57+$B$4</f>
        <v>0</v>
      </c>
      <c r="C58">
        <f>C57+$B$4*D57</f>
        <v>0</v>
      </c>
      <c r="D58">
        <f>$B$1*C58^(3/4)*(1-(C58/$B$2)^(1/4))</f>
        <v>0</v>
      </c>
    </row>
    <row r="59" spans="1:4">
      <c r="A59">
        <f>A58+1</f>
        <v>0</v>
      </c>
      <c r="B59">
        <f>B58+$B$4</f>
        <v>0</v>
      </c>
      <c r="C59">
        <f>C58+$B$4*D58</f>
        <v>0</v>
      </c>
      <c r="D59">
        <f>$B$1*C59^(3/4)*(1-(C59/$B$2)^(1/4))</f>
        <v>0</v>
      </c>
    </row>
    <row r="60" spans="1:4">
      <c r="A60">
        <f>A59+1</f>
        <v>0</v>
      </c>
      <c r="B60">
        <f>B59+$B$4</f>
        <v>0</v>
      </c>
      <c r="C60">
        <f>C59+$B$4*D59</f>
        <v>0</v>
      </c>
      <c r="D60">
        <f>$B$1*C60^(3/4)*(1-(C60/$B$2)^(1/4))</f>
        <v>0</v>
      </c>
    </row>
    <row r="61" spans="1:4">
      <c r="A61">
        <f>A60+1</f>
        <v>0</v>
      </c>
      <c r="B61">
        <f>B60+$B$4</f>
        <v>0</v>
      </c>
      <c r="C61">
        <f>C60+$B$4*D60</f>
        <v>0</v>
      </c>
      <c r="D61">
        <f>$B$1*C61^(3/4)*(1-(C61/$B$2)^(1/4))</f>
        <v>0</v>
      </c>
    </row>
    <row r="62" spans="1:4">
      <c r="A62">
        <f>A61+1</f>
        <v>0</v>
      </c>
      <c r="B62">
        <f>B61+$B$4</f>
        <v>0</v>
      </c>
      <c r="C62">
        <f>C61+$B$4*D61</f>
        <v>0</v>
      </c>
      <c r="D62">
        <f>$B$1*C62^(3/4)*(1-(C62/$B$2)^(1/4))</f>
        <v>0</v>
      </c>
    </row>
    <row r="63" spans="1:4">
      <c r="A63">
        <f>A62+1</f>
        <v>0</v>
      </c>
      <c r="B63">
        <f>B62+$B$4</f>
        <v>0</v>
      </c>
      <c r="C63">
        <f>C62+$B$4*D62</f>
        <v>0</v>
      </c>
      <c r="D63">
        <f>$B$1*C63^(3/4)*(1-(C63/$B$2)^(1/4))</f>
        <v>0</v>
      </c>
    </row>
    <row r="64" spans="1:4">
      <c r="A64">
        <f>A63+1</f>
        <v>0</v>
      </c>
      <c r="B64">
        <f>B63+$B$4</f>
        <v>0</v>
      </c>
      <c r="C64">
        <f>C63+$B$4*D63</f>
        <v>0</v>
      </c>
      <c r="D64">
        <f>$B$1*C64^(3/4)*(1-(C64/$B$2)^(1/4))</f>
        <v>0</v>
      </c>
    </row>
    <row r="65" spans="1:4">
      <c r="A65">
        <f>A64+1</f>
        <v>0</v>
      </c>
      <c r="B65">
        <f>B64+$B$4</f>
        <v>0</v>
      </c>
      <c r="C65">
        <f>C64+$B$4*D64</f>
        <v>0</v>
      </c>
      <c r="D65">
        <f>$B$1*C65^(3/4)*(1-(C65/$B$2)^(1/4))</f>
        <v>0</v>
      </c>
    </row>
    <row r="66" spans="1:4">
      <c r="A66">
        <f>A65+1</f>
        <v>0</v>
      </c>
      <c r="B66">
        <f>B65+$B$4</f>
        <v>0</v>
      </c>
      <c r="C66">
        <f>C65+$B$4*D65</f>
        <v>0</v>
      </c>
      <c r="D66">
        <f>$B$1*C66^(3/4)*(1-(C66/$B$2)^(1/4))</f>
        <v>0</v>
      </c>
    </row>
    <row r="67" spans="1:4">
      <c r="A67">
        <f>A66+1</f>
        <v>0</v>
      </c>
      <c r="B67">
        <f>B66+$B$4</f>
        <v>0</v>
      </c>
      <c r="C67">
        <f>C66+$B$4*D66</f>
        <v>0</v>
      </c>
      <c r="D67">
        <f>$B$1*C67^(3/4)*(1-(C67/$B$2)^(1/4))</f>
        <v>0</v>
      </c>
    </row>
    <row r="68" spans="1:4">
      <c r="A68">
        <f>A67+1</f>
        <v>0</v>
      </c>
      <c r="B68">
        <f>B67+$B$4</f>
        <v>0</v>
      </c>
      <c r="C68">
        <f>C67+$B$4*D67</f>
        <v>0</v>
      </c>
      <c r="D68">
        <f>$B$1*C68^(3/4)*(1-(C68/$B$2)^(1/4))</f>
        <v>0</v>
      </c>
    </row>
    <row r="69" spans="1:4">
      <c r="A69">
        <f>A68+1</f>
        <v>0</v>
      </c>
      <c r="B69">
        <f>B68+$B$4</f>
        <v>0</v>
      </c>
      <c r="C69">
        <f>C68+$B$4*D68</f>
        <v>0</v>
      </c>
      <c r="D69">
        <f>$B$1*C69^(3/4)*(1-(C69/$B$2)^(1/4))</f>
        <v>0</v>
      </c>
    </row>
    <row r="70" spans="1:4">
      <c r="A70">
        <f>A69+1</f>
        <v>0</v>
      </c>
      <c r="B70">
        <f>B69+$B$4</f>
        <v>0</v>
      </c>
      <c r="C70">
        <f>C69+$B$4*D69</f>
        <v>0</v>
      </c>
      <c r="D70">
        <f>$B$1*C70^(3/4)*(1-(C70/$B$2)^(1/4))</f>
        <v>0</v>
      </c>
    </row>
    <row r="71" spans="1:4">
      <c r="A71">
        <f>A70+1</f>
        <v>0</v>
      </c>
      <c r="B71">
        <f>B70+$B$4</f>
        <v>0</v>
      </c>
      <c r="C71">
        <f>C70+$B$4*D70</f>
        <v>0</v>
      </c>
      <c r="D71">
        <f>$B$1*C71^(3/4)*(1-(C71/$B$2)^(1/4))</f>
        <v>0</v>
      </c>
    </row>
    <row r="72" spans="1:4">
      <c r="A72">
        <f>A71+1</f>
        <v>0</v>
      </c>
      <c r="B72">
        <f>B71+$B$4</f>
        <v>0</v>
      </c>
      <c r="C72">
        <f>C71+$B$4*D71</f>
        <v>0</v>
      </c>
      <c r="D72">
        <f>$B$1*C72^(3/4)*(1-(C72/$B$2)^(1/4))</f>
        <v>0</v>
      </c>
    </row>
    <row r="73" spans="1:4">
      <c r="A73">
        <f>A72+1</f>
        <v>0</v>
      </c>
      <c r="B73">
        <f>B72+$B$4</f>
        <v>0</v>
      </c>
      <c r="C73">
        <f>C72+$B$4*D72</f>
        <v>0</v>
      </c>
      <c r="D73">
        <f>$B$1*C73^(3/4)*(1-(C73/$B$2)^(1/4))</f>
        <v>0</v>
      </c>
    </row>
    <row r="74" spans="1:4">
      <c r="A74">
        <f>A73+1</f>
        <v>0</v>
      </c>
      <c r="B74">
        <f>B73+$B$4</f>
        <v>0</v>
      </c>
      <c r="C74">
        <f>C73+$B$4*D73</f>
        <v>0</v>
      </c>
      <c r="D74">
        <f>$B$1*C74^(3/4)*(1-(C74/$B$2)^(1/4))</f>
        <v>0</v>
      </c>
    </row>
    <row r="75" spans="1:4">
      <c r="A75">
        <f>A74+1</f>
        <v>0</v>
      </c>
      <c r="B75">
        <f>B74+$B$4</f>
        <v>0</v>
      </c>
      <c r="C75">
        <f>C74+$B$4*D74</f>
        <v>0</v>
      </c>
      <c r="D75">
        <f>$B$1*C75^(3/4)*(1-(C75/$B$2)^(1/4))</f>
        <v>0</v>
      </c>
    </row>
    <row r="76" spans="1:4">
      <c r="A76">
        <f>A75+1</f>
        <v>0</v>
      </c>
      <c r="B76">
        <f>B75+$B$4</f>
        <v>0</v>
      </c>
      <c r="C76">
        <f>C75+$B$4*D75</f>
        <v>0</v>
      </c>
      <c r="D76">
        <f>$B$1*C76^(3/4)*(1-(C76/$B$2)^(1/4))</f>
        <v>0</v>
      </c>
    </row>
    <row r="77" spans="1:4">
      <c r="A77">
        <f>A76+1</f>
        <v>0</v>
      </c>
      <c r="B77">
        <f>B76+$B$4</f>
        <v>0</v>
      </c>
      <c r="C77">
        <f>C76+$B$4*D76</f>
        <v>0</v>
      </c>
      <c r="D77">
        <f>$B$1*C77^(3/4)*(1-(C77/$B$2)^(1/4))</f>
        <v>0</v>
      </c>
    </row>
    <row r="78" spans="1:4">
      <c r="A78">
        <f>A77+1</f>
        <v>0</v>
      </c>
      <c r="B78">
        <f>B77+$B$4</f>
        <v>0</v>
      </c>
      <c r="C78">
        <f>C77+$B$4*D77</f>
        <v>0</v>
      </c>
      <c r="D78">
        <f>$B$1*C78^(3/4)*(1-(C78/$B$2)^(1/4))</f>
        <v>0</v>
      </c>
    </row>
    <row r="79" spans="1:4">
      <c r="A79">
        <f>A78+1</f>
        <v>0</v>
      </c>
      <c r="B79">
        <f>B78+$B$4</f>
        <v>0</v>
      </c>
      <c r="C79">
        <f>C78+$B$4*D78</f>
        <v>0</v>
      </c>
      <c r="D79">
        <f>$B$1*C79^(3/4)*(1-(C79/$B$2)^(1/4))</f>
        <v>0</v>
      </c>
    </row>
    <row r="80" spans="1:4">
      <c r="A80">
        <f>A79+1</f>
        <v>0</v>
      </c>
      <c r="B80">
        <f>B79+$B$4</f>
        <v>0</v>
      </c>
      <c r="C80">
        <f>C79+$B$4*D79</f>
        <v>0</v>
      </c>
      <c r="D80">
        <f>$B$1*C80^(3/4)*(1-(C80/$B$2)^(1/4))</f>
        <v>0</v>
      </c>
    </row>
    <row r="81" spans="1:4">
      <c r="A81">
        <f>A80+1</f>
        <v>0</v>
      </c>
      <c r="B81">
        <f>B80+$B$4</f>
        <v>0</v>
      </c>
      <c r="C81">
        <f>C80+$B$4*D80</f>
        <v>0</v>
      </c>
      <c r="D81">
        <f>$B$1*C81^(3/4)*(1-(C81/$B$2)^(1/4))</f>
        <v>0</v>
      </c>
    </row>
    <row r="82" spans="1:4">
      <c r="A82">
        <f>A81+1</f>
        <v>0</v>
      </c>
      <c r="B82">
        <f>B81+$B$4</f>
        <v>0</v>
      </c>
      <c r="C82">
        <f>C81+$B$4*D81</f>
        <v>0</v>
      </c>
      <c r="D82">
        <f>$B$1*C82^(3/4)*(1-(C82/$B$2)^(1/4))</f>
        <v>0</v>
      </c>
    </row>
    <row r="83" spans="1:4">
      <c r="A83">
        <f>A82+1</f>
        <v>0</v>
      </c>
      <c r="B83">
        <f>B82+$B$4</f>
        <v>0</v>
      </c>
      <c r="C83">
        <f>C82+$B$4*D82</f>
        <v>0</v>
      </c>
      <c r="D83">
        <f>$B$1*C83^(3/4)*(1-(C83/$B$2)^(1/4))</f>
        <v>0</v>
      </c>
    </row>
    <row r="84" spans="1:4">
      <c r="A84">
        <f>A83+1</f>
        <v>0</v>
      </c>
      <c r="B84">
        <f>B83+$B$4</f>
        <v>0</v>
      </c>
      <c r="C84">
        <f>C83+$B$4*D83</f>
        <v>0</v>
      </c>
      <c r="D84">
        <f>$B$1*C84^(3/4)*(1-(C84/$B$2)^(1/4))</f>
        <v>0</v>
      </c>
    </row>
    <row r="85" spans="1:4">
      <c r="A85">
        <f>A84+1</f>
        <v>0</v>
      </c>
      <c r="B85">
        <f>B84+$B$4</f>
        <v>0</v>
      </c>
      <c r="C85">
        <f>C84+$B$4*D84</f>
        <v>0</v>
      </c>
      <c r="D85">
        <f>$B$1*C85^(3/4)*(1-(C85/$B$2)^(1/4))</f>
        <v>0</v>
      </c>
    </row>
    <row r="86" spans="1:4">
      <c r="A86">
        <f>A85+1</f>
        <v>0</v>
      </c>
      <c r="B86">
        <f>B85+$B$4</f>
        <v>0</v>
      </c>
      <c r="C86">
        <f>C85+$B$4*D85</f>
        <v>0</v>
      </c>
      <c r="D86">
        <f>$B$1*C86^(3/4)*(1-(C86/$B$2)^(1/4))</f>
        <v>0</v>
      </c>
    </row>
    <row r="87" spans="1:4">
      <c r="A87">
        <f>A86+1</f>
        <v>0</v>
      </c>
      <c r="B87">
        <f>B86+$B$4</f>
        <v>0</v>
      </c>
      <c r="C87">
        <f>C86+$B$4*D86</f>
        <v>0</v>
      </c>
      <c r="D87">
        <f>$B$1*C87^(3/4)*(1-(C87/$B$2)^(1/4))</f>
        <v>0</v>
      </c>
    </row>
    <row r="88" spans="1:4">
      <c r="A88">
        <f>A87+1</f>
        <v>0</v>
      </c>
      <c r="B88">
        <f>B87+$B$4</f>
        <v>0</v>
      </c>
      <c r="C88">
        <f>C87+$B$4*D87</f>
        <v>0</v>
      </c>
      <c r="D88">
        <f>$B$1*C88^(3/4)*(1-(C88/$B$2)^(1/4))</f>
        <v>0</v>
      </c>
    </row>
    <row r="89" spans="1:4">
      <c r="A89">
        <f>A88+1</f>
        <v>0</v>
      </c>
      <c r="B89">
        <f>B88+$B$4</f>
        <v>0</v>
      </c>
      <c r="C89">
        <f>C88+$B$4*D88</f>
        <v>0</v>
      </c>
      <c r="D89">
        <f>$B$1*C89^(3/4)*(1-(C89/$B$2)^(1/4))</f>
        <v>0</v>
      </c>
    </row>
    <row r="90" spans="1:4">
      <c r="A90">
        <f>A89+1</f>
        <v>0</v>
      </c>
      <c r="B90">
        <f>B89+$B$4</f>
        <v>0</v>
      </c>
      <c r="C90">
        <f>C89+$B$4*D89</f>
        <v>0</v>
      </c>
      <c r="D90">
        <f>$B$1*C90^(3/4)*(1-(C90/$B$2)^(1/4))</f>
        <v>0</v>
      </c>
    </row>
    <row r="91" spans="1:4">
      <c r="A91">
        <f>A90+1</f>
        <v>0</v>
      </c>
      <c r="B91">
        <f>B90+$B$4</f>
        <v>0</v>
      </c>
      <c r="C91">
        <f>C90+$B$4*D90</f>
        <v>0</v>
      </c>
      <c r="D91">
        <f>$B$1*C91^(3/4)*(1-(C91/$B$2)^(1/4))</f>
        <v>0</v>
      </c>
    </row>
    <row r="92" spans="1:4">
      <c r="A92">
        <f>A91+1</f>
        <v>0</v>
      </c>
      <c r="B92">
        <f>B91+$B$4</f>
        <v>0</v>
      </c>
      <c r="C92">
        <f>C91+$B$4*D91</f>
        <v>0</v>
      </c>
      <c r="D92">
        <f>$B$1*C92^(3/4)*(1-(C92/$B$2)^(1/4))</f>
        <v>0</v>
      </c>
    </row>
    <row r="93" spans="1:4">
      <c r="A93">
        <f>A92+1</f>
        <v>0</v>
      </c>
      <c r="B93">
        <f>B92+$B$4</f>
        <v>0</v>
      </c>
      <c r="C93">
        <f>C92+$B$4*D92</f>
        <v>0</v>
      </c>
      <c r="D93">
        <f>$B$1*C93^(3/4)*(1-(C93/$B$2)^(1/4))</f>
        <v>0</v>
      </c>
    </row>
    <row r="94" spans="1:4">
      <c r="A94">
        <f>A93+1</f>
        <v>0</v>
      </c>
      <c r="B94">
        <f>B93+$B$4</f>
        <v>0</v>
      </c>
      <c r="C94">
        <f>C93+$B$4*D93</f>
        <v>0</v>
      </c>
      <c r="D94">
        <f>$B$1*C94^(3/4)*(1-(C94/$B$2)^(1/4))</f>
        <v>0</v>
      </c>
    </row>
    <row r="97" spans="1:6">
      <c r="A97" t="s">
        <v>12</v>
      </c>
    </row>
    <row r="98" spans="1:6">
      <c r="A98" t="s">
        <v>6</v>
      </c>
      <c r="B98" t="s">
        <v>7</v>
      </c>
      <c r="C98" t="s">
        <v>13</v>
      </c>
      <c r="D98" t="s">
        <v>11</v>
      </c>
      <c r="E98" t="s">
        <v>14</v>
      </c>
      <c r="F98" t="s">
        <v>15</v>
      </c>
    </row>
    <row r="99" spans="1:6">
      <c r="A99">
        <v>0</v>
      </c>
      <c r="B99">
        <v>0</v>
      </c>
      <c r="C99">
        <f>$B$3</f>
        <v>0</v>
      </c>
      <c r="D99">
        <f>$B$1*C99^(3/4)*(1-(C99/$B$2)^(1/4))</f>
        <v>0</v>
      </c>
      <c r="E99">
        <f>C99+$B$4*D99</f>
        <v>0</v>
      </c>
      <c r="F99">
        <f>$B$1*E99^(3/4)*(1-(E99/$B$2)^(1/4))</f>
        <v>0</v>
      </c>
    </row>
    <row r="100" spans="1:6">
      <c r="A100">
        <f>A99+1</f>
        <v>0</v>
      </c>
      <c r="B100">
        <f>B99+$B$4</f>
        <v>0</v>
      </c>
      <c r="C100">
        <f>C99+$B$4/2*(D99+F99)</f>
        <v>0</v>
      </c>
      <c r="D100">
        <f>$B$1*C100^(3/4)*(1-(C100/$B$2)^(1/4))</f>
        <v>0</v>
      </c>
      <c r="E100">
        <f>C100+$B$4*D100</f>
        <v>0</v>
      </c>
      <c r="F100">
        <f>$B$1*E100^(3/4)*(1-(E100/$B$2)^(1/4))</f>
        <v>0</v>
      </c>
    </row>
    <row r="101" spans="1:6">
      <c r="A101">
        <f>A100+1</f>
        <v>0</v>
      </c>
      <c r="B101">
        <f>B100+$B$4</f>
        <v>0</v>
      </c>
      <c r="C101">
        <f>C100+$B$4/2*(D100+F100)</f>
        <v>0</v>
      </c>
      <c r="D101">
        <f>$B$1*C101^(3/4)*(1-(C101/$B$2)^(1/4))</f>
        <v>0</v>
      </c>
      <c r="E101">
        <f>C101+$B$4*D101</f>
        <v>0</v>
      </c>
      <c r="F101">
        <f>$B$1*E101^(3/4)*(1-(E101/$B$2)^(1/4))</f>
        <v>0</v>
      </c>
    </row>
    <row r="102" spans="1:6">
      <c r="A102">
        <f>A101+1</f>
        <v>0</v>
      </c>
      <c r="B102">
        <f>B101+$B$4</f>
        <v>0</v>
      </c>
      <c r="C102">
        <f>C101+$B$4/2*(D101+F101)</f>
        <v>0</v>
      </c>
      <c r="D102">
        <f>$B$1*C102^(3/4)*(1-(C102/$B$2)^(1/4))</f>
        <v>0</v>
      </c>
      <c r="E102">
        <f>C102+$B$4*D102</f>
        <v>0</v>
      </c>
      <c r="F102">
        <f>$B$1*E102^(3/4)*(1-(E102/$B$2)^(1/4))</f>
        <v>0</v>
      </c>
    </row>
    <row r="103" spans="1:6">
      <c r="A103">
        <f>A102+1</f>
        <v>0</v>
      </c>
      <c r="B103">
        <f>B102+$B$4</f>
        <v>0</v>
      </c>
      <c r="C103">
        <f>C102+$B$4/2*(D102+F102)</f>
        <v>0</v>
      </c>
      <c r="D103">
        <f>$B$1*C103^(3/4)*(1-(C103/$B$2)^(1/4))</f>
        <v>0</v>
      </c>
      <c r="E103">
        <f>C103+$B$4*D103</f>
        <v>0</v>
      </c>
      <c r="F103">
        <f>$B$1*E103^(3/4)*(1-(E103/$B$2)^(1/4))</f>
        <v>0</v>
      </c>
    </row>
    <row r="104" spans="1:6">
      <c r="A104">
        <f>A103+1</f>
        <v>0</v>
      </c>
      <c r="B104">
        <f>B103+$B$4</f>
        <v>0</v>
      </c>
      <c r="C104">
        <f>C103+$B$4/2*(D103+F103)</f>
        <v>0</v>
      </c>
      <c r="D104">
        <f>$B$1*C104^(3/4)*(1-(C104/$B$2)^(1/4))</f>
        <v>0</v>
      </c>
      <c r="E104">
        <f>C104+$B$4*D104</f>
        <v>0</v>
      </c>
      <c r="F104">
        <f>$B$1*E104^(3/4)*(1-(E104/$B$2)^(1/4))</f>
        <v>0</v>
      </c>
    </row>
    <row r="105" spans="1:6">
      <c r="A105">
        <f>A104+1</f>
        <v>0</v>
      </c>
      <c r="B105">
        <f>B104+$B$4</f>
        <v>0</v>
      </c>
      <c r="C105">
        <f>C104+$B$4/2*(D104+F104)</f>
        <v>0</v>
      </c>
      <c r="D105">
        <f>$B$1*C105^(3/4)*(1-(C105/$B$2)^(1/4))</f>
        <v>0</v>
      </c>
      <c r="E105">
        <f>C105+$B$4*D105</f>
        <v>0</v>
      </c>
      <c r="F105">
        <f>$B$1*E105^(3/4)*(1-(E105/$B$2)^(1/4))</f>
        <v>0</v>
      </c>
    </row>
    <row r="106" spans="1:6">
      <c r="A106">
        <f>A105+1</f>
        <v>0</v>
      </c>
      <c r="B106">
        <f>B105+$B$4</f>
        <v>0</v>
      </c>
      <c r="C106">
        <f>C105+$B$4/2*(D105+F105)</f>
        <v>0</v>
      </c>
      <c r="D106">
        <f>$B$1*C106^(3/4)*(1-(C106/$B$2)^(1/4))</f>
        <v>0</v>
      </c>
      <c r="E106">
        <f>C106+$B$4*D106</f>
        <v>0</v>
      </c>
      <c r="F106">
        <f>$B$1*E106^(3/4)*(1-(E106/$B$2)^(1/4))</f>
        <v>0</v>
      </c>
    </row>
    <row r="107" spans="1:6">
      <c r="A107">
        <f>A106+1</f>
        <v>0</v>
      </c>
      <c r="B107">
        <f>B106+$B$4</f>
        <v>0</v>
      </c>
      <c r="C107">
        <f>C106+$B$4/2*(D106+F106)</f>
        <v>0</v>
      </c>
      <c r="D107">
        <f>$B$1*C107^(3/4)*(1-(C107/$B$2)^(1/4))</f>
        <v>0</v>
      </c>
      <c r="E107">
        <f>C107+$B$4*D107</f>
        <v>0</v>
      </c>
      <c r="F107">
        <f>$B$1*E107^(3/4)*(1-(E107/$B$2)^(1/4))</f>
        <v>0</v>
      </c>
    </row>
    <row r="108" spans="1:6">
      <c r="A108">
        <f>A107+1</f>
        <v>0</v>
      </c>
      <c r="B108">
        <f>B107+$B$4</f>
        <v>0</v>
      </c>
      <c r="C108">
        <f>C107+$B$4/2*(D107+F107)</f>
        <v>0</v>
      </c>
      <c r="D108">
        <f>$B$1*C108^(3/4)*(1-(C108/$B$2)^(1/4))</f>
        <v>0</v>
      </c>
      <c r="E108">
        <f>C108+$B$4*D108</f>
        <v>0</v>
      </c>
      <c r="F108">
        <f>$B$1*E108^(3/4)*(1-(E108/$B$2)^(1/4))</f>
        <v>0</v>
      </c>
    </row>
    <row r="109" spans="1:6">
      <c r="A109">
        <f>A108+1</f>
        <v>0</v>
      </c>
      <c r="B109">
        <f>B108+$B$4</f>
        <v>0</v>
      </c>
      <c r="C109">
        <f>C108+$B$4/2*(D108+F108)</f>
        <v>0</v>
      </c>
      <c r="D109">
        <f>$B$1*C109^(3/4)*(1-(C109/$B$2)^(1/4))</f>
        <v>0</v>
      </c>
      <c r="E109">
        <f>C109+$B$4*D109</f>
        <v>0</v>
      </c>
      <c r="F109">
        <f>$B$1*E109^(3/4)*(1-(E109/$B$2)^(1/4))</f>
        <v>0</v>
      </c>
    </row>
    <row r="110" spans="1:6">
      <c r="A110">
        <f>A109+1</f>
        <v>0</v>
      </c>
      <c r="B110">
        <f>B109+$B$4</f>
        <v>0</v>
      </c>
      <c r="C110">
        <f>C109+$B$4/2*(D109+F109)</f>
        <v>0</v>
      </c>
      <c r="D110">
        <f>$B$1*C110^(3/4)*(1-(C110/$B$2)^(1/4))</f>
        <v>0</v>
      </c>
      <c r="E110">
        <f>C110+$B$4*D110</f>
        <v>0</v>
      </c>
      <c r="F110">
        <f>$B$1*E110^(3/4)*(1-(E110/$B$2)^(1/4))</f>
        <v>0</v>
      </c>
    </row>
    <row r="111" spans="1:6">
      <c r="A111">
        <f>A110+1</f>
        <v>0</v>
      </c>
      <c r="B111">
        <f>B110+$B$4</f>
        <v>0</v>
      </c>
      <c r="C111">
        <f>C110+$B$4/2*(D110+F110)</f>
        <v>0</v>
      </c>
      <c r="D111">
        <f>$B$1*C111^(3/4)*(1-(C111/$B$2)^(1/4))</f>
        <v>0</v>
      </c>
      <c r="E111">
        <f>C111+$B$4*D111</f>
        <v>0</v>
      </c>
      <c r="F111">
        <f>$B$1*E111^(3/4)*(1-(E111/$B$2)^(1/4))</f>
        <v>0</v>
      </c>
    </row>
    <row r="112" spans="1:6">
      <c r="A112">
        <f>A111+1</f>
        <v>0</v>
      </c>
      <c r="B112">
        <f>B111+$B$4</f>
        <v>0</v>
      </c>
      <c r="C112">
        <f>C111+$B$4/2*(D111+F111)</f>
        <v>0</v>
      </c>
      <c r="D112">
        <f>$B$1*C112^(3/4)*(1-(C112/$B$2)^(1/4))</f>
        <v>0</v>
      </c>
      <c r="E112">
        <f>C112+$B$4*D112</f>
        <v>0</v>
      </c>
      <c r="F112">
        <f>$B$1*E112^(3/4)*(1-(E112/$B$2)^(1/4))</f>
        <v>0</v>
      </c>
    </row>
    <row r="113" spans="1:6">
      <c r="A113">
        <f>A112+1</f>
        <v>0</v>
      </c>
      <c r="B113">
        <f>B112+$B$4</f>
        <v>0</v>
      </c>
      <c r="C113">
        <f>C112+$B$4/2*(D112+F112)</f>
        <v>0</v>
      </c>
      <c r="D113">
        <f>$B$1*C113^(3/4)*(1-(C113/$B$2)^(1/4))</f>
        <v>0</v>
      </c>
      <c r="E113">
        <f>C113+$B$4*D113</f>
        <v>0</v>
      </c>
      <c r="F113">
        <f>$B$1*E113^(3/4)*(1-(E113/$B$2)^(1/4))</f>
        <v>0</v>
      </c>
    </row>
    <row r="114" spans="1:6">
      <c r="A114">
        <f>A113+1</f>
        <v>0</v>
      </c>
      <c r="B114">
        <f>B113+$B$4</f>
        <v>0</v>
      </c>
      <c r="C114">
        <f>C113+$B$4/2*(D113+F113)</f>
        <v>0</v>
      </c>
      <c r="D114">
        <f>$B$1*C114^(3/4)*(1-(C114/$B$2)^(1/4))</f>
        <v>0</v>
      </c>
      <c r="E114">
        <f>C114+$B$4*D114</f>
        <v>0</v>
      </c>
      <c r="F114">
        <f>$B$1*E114^(3/4)*(1-(E114/$B$2)^(1/4))</f>
        <v>0</v>
      </c>
    </row>
    <row r="115" spans="1:6">
      <c r="A115">
        <f>A114+1</f>
        <v>0</v>
      </c>
      <c r="B115">
        <f>B114+$B$4</f>
        <v>0</v>
      </c>
      <c r="C115">
        <f>C114+$B$4/2*(D114+F114)</f>
        <v>0</v>
      </c>
      <c r="D115">
        <f>$B$1*C115^(3/4)*(1-(C115/$B$2)^(1/4))</f>
        <v>0</v>
      </c>
      <c r="E115">
        <f>C115+$B$4*D115</f>
        <v>0</v>
      </c>
      <c r="F115">
        <f>$B$1*E115^(3/4)*(1-(E115/$B$2)^(1/4))</f>
        <v>0</v>
      </c>
    </row>
    <row r="116" spans="1:6">
      <c r="A116">
        <f>A115+1</f>
        <v>0</v>
      </c>
      <c r="B116">
        <f>B115+$B$4</f>
        <v>0</v>
      </c>
      <c r="C116">
        <f>C115+$B$4/2*(D115+F115)</f>
        <v>0</v>
      </c>
      <c r="D116">
        <f>$B$1*C116^(3/4)*(1-(C116/$B$2)^(1/4))</f>
        <v>0</v>
      </c>
      <c r="E116">
        <f>C116+$B$4*D116</f>
        <v>0</v>
      </c>
      <c r="F116">
        <f>$B$1*E116^(3/4)*(1-(E116/$B$2)^(1/4))</f>
        <v>0</v>
      </c>
    </row>
    <row r="117" spans="1:6">
      <c r="A117">
        <f>A116+1</f>
        <v>0</v>
      </c>
      <c r="B117">
        <f>B116+$B$4</f>
        <v>0</v>
      </c>
      <c r="C117">
        <f>C116+$B$4/2*(D116+F116)</f>
        <v>0</v>
      </c>
      <c r="D117">
        <f>$B$1*C117^(3/4)*(1-(C117/$B$2)^(1/4))</f>
        <v>0</v>
      </c>
      <c r="E117">
        <f>C117+$B$4*D117</f>
        <v>0</v>
      </c>
      <c r="F117">
        <f>$B$1*E117^(3/4)*(1-(E117/$B$2)^(1/4))</f>
        <v>0</v>
      </c>
    </row>
    <row r="118" spans="1:6">
      <c r="A118">
        <f>A117+1</f>
        <v>0</v>
      </c>
      <c r="B118">
        <f>B117+$B$4</f>
        <v>0</v>
      </c>
      <c r="C118">
        <f>C117+$B$4/2*(D117+F117)</f>
        <v>0</v>
      </c>
      <c r="D118">
        <f>$B$1*C118^(3/4)*(1-(C118/$B$2)^(1/4))</f>
        <v>0</v>
      </c>
      <c r="E118">
        <f>C118+$B$4*D118</f>
        <v>0</v>
      </c>
      <c r="F118">
        <f>$B$1*E118^(3/4)*(1-(E118/$B$2)^(1/4))</f>
        <v>0</v>
      </c>
    </row>
    <row r="119" spans="1:6">
      <c r="A119">
        <f>A118+1</f>
        <v>0</v>
      </c>
      <c r="B119">
        <f>B118+$B$4</f>
        <v>0</v>
      </c>
      <c r="C119">
        <f>C118+$B$4/2*(D118+F118)</f>
        <v>0</v>
      </c>
      <c r="D119">
        <f>$B$1*C119^(3/4)*(1-(C119/$B$2)^(1/4))</f>
        <v>0</v>
      </c>
      <c r="E119">
        <f>C119+$B$4*D119</f>
        <v>0</v>
      </c>
      <c r="F119">
        <f>$B$1*E119^(3/4)*(1-(E119/$B$2)^(1/4))</f>
        <v>0</v>
      </c>
    </row>
    <row r="120" spans="1:6">
      <c r="A120">
        <f>A119+1</f>
        <v>0</v>
      </c>
      <c r="B120">
        <f>B119+$B$4</f>
        <v>0</v>
      </c>
      <c r="C120">
        <f>C119+$B$4/2*(D119+F119)</f>
        <v>0</v>
      </c>
      <c r="D120">
        <f>$B$1*C120^(3/4)*(1-(C120/$B$2)^(1/4))</f>
        <v>0</v>
      </c>
      <c r="E120">
        <f>C120+$B$4*D120</f>
        <v>0</v>
      </c>
      <c r="F120">
        <f>$B$1*E120^(3/4)*(1-(E120/$B$2)^(1/4))</f>
        <v>0</v>
      </c>
    </row>
    <row r="121" spans="1:6">
      <c r="A121">
        <f>A120+1</f>
        <v>0</v>
      </c>
      <c r="B121">
        <f>B120+$B$4</f>
        <v>0</v>
      </c>
      <c r="C121">
        <f>C120+$B$4/2*(D120+F120)</f>
        <v>0</v>
      </c>
      <c r="D121">
        <f>$B$1*C121^(3/4)*(1-(C121/$B$2)^(1/4))</f>
        <v>0</v>
      </c>
      <c r="E121">
        <f>C121+$B$4*D121</f>
        <v>0</v>
      </c>
      <c r="F121">
        <f>$B$1*E121^(3/4)*(1-(E121/$B$2)^(1/4))</f>
        <v>0</v>
      </c>
    </row>
    <row r="122" spans="1:6">
      <c r="A122">
        <f>A121+1</f>
        <v>0</v>
      </c>
      <c r="B122">
        <f>B121+$B$4</f>
        <v>0</v>
      </c>
      <c r="C122">
        <f>C121+$B$4/2*(D121+F121)</f>
        <v>0</v>
      </c>
      <c r="D122">
        <f>$B$1*C122^(3/4)*(1-(C122/$B$2)^(1/4))</f>
        <v>0</v>
      </c>
      <c r="E122">
        <f>C122+$B$4*D122</f>
        <v>0</v>
      </c>
      <c r="F122">
        <f>$B$1*E122^(3/4)*(1-(E122/$B$2)^(1/4))</f>
        <v>0</v>
      </c>
    </row>
    <row r="123" spans="1:6">
      <c r="A123">
        <f>A122+1</f>
        <v>0</v>
      </c>
      <c r="B123">
        <f>B122+$B$4</f>
        <v>0</v>
      </c>
      <c r="C123">
        <f>C122+$B$4/2*(D122+F122)</f>
        <v>0</v>
      </c>
      <c r="D123">
        <f>$B$1*C123^(3/4)*(1-(C123/$B$2)^(1/4))</f>
        <v>0</v>
      </c>
      <c r="E123">
        <f>C123+$B$4*D123</f>
        <v>0</v>
      </c>
      <c r="F123">
        <f>$B$1*E123^(3/4)*(1-(E123/$B$2)^(1/4))</f>
        <v>0</v>
      </c>
    </row>
    <row r="124" spans="1:6">
      <c r="A124">
        <f>A123+1</f>
        <v>0</v>
      </c>
      <c r="B124">
        <f>B123+$B$4</f>
        <v>0</v>
      </c>
      <c r="C124">
        <f>C123+$B$4/2*(D123+F123)</f>
        <v>0</v>
      </c>
      <c r="D124">
        <f>$B$1*C124^(3/4)*(1-(C124/$B$2)^(1/4))</f>
        <v>0</v>
      </c>
      <c r="E124">
        <f>C124+$B$4*D124</f>
        <v>0</v>
      </c>
      <c r="F124">
        <f>$B$1*E124^(3/4)*(1-(E124/$B$2)^(1/4))</f>
        <v>0</v>
      </c>
    </row>
    <row r="125" spans="1:6">
      <c r="A125">
        <f>A124+1</f>
        <v>0</v>
      </c>
      <c r="B125">
        <f>B124+$B$4</f>
        <v>0</v>
      </c>
      <c r="C125">
        <f>C124+$B$4/2*(D124+F124)</f>
        <v>0</v>
      </c>
      <c r="D125">
        <f>$B$1*C125^(3/4)*(1-(C125/$B$2)^(1/4))</f>
        <v>0</v>
      </c>
      <c r="E125">
        <f>C125+$B$4*D125</f>
        <v>0</v>
      </c>
      <c r="F125">
        <f>$B$1*E125^(3/4)*(1-(E125/$B$2)^(1/4))</f>
        <v>0</v>
      </c>
    </row>
    <row r="126" spans="1:6">
      <c r="A126">
        <f>A125+1</f>
        <v>0</v>
      </c>
      <c r="B126">
        <f>B125+$B$4</f>
        <v>0</v>
      </c>
      <c r="C126">
        <f>C125+$B$4/2*(D125+F125)</f>
        <v>0</v>
      </c>
      <c r="D126">
        <f>$B$1*C126^(3/4)*(1-(C126/$B$2)^(1/4))</f>
        <v>0</v>
      </c>
      <c r="E126">
        <f>C126+$B$4*D126</f>
        <v>0</v>
      </c>
      <c r="F126">
        <f>$B$1*E126^(3/4)*(1-(E126/$B$2)^(1/4))</f>
        <v>0</v>
      </c>
    </row>
    <row r="127" spans="1:6">
      <c r="A127">
        <f>A126+1</f>
        <v>0</v>
      </c>
      <c r="B127">
        <f>B126+$B$4</f>
        <v>0</v>
      </c>
      <c r="C127">
        <f>C126+$B$4/2*(D126+F126)</f>
        <v>0</v>
      </c>
      <c r="D127">
        <f>$B$1*C127^(3/4)*(1-(C127/$B$2)^(1/4))</f>
        <v>0</v>
      </c>
      <c r="E127">
        <f>C127+$B$4*D127</f>
        <v>0</v>
      </c>
      <c r="F127">
        <f>$B$1*E127^(3/4)*(1-(E127/$B$2)^(1/4))</f>
        <v>0</v>
      </c>
    </row>
    <row r="128" spans="1:6">
      <c r="A128">
        <f>A127+1</f>
        <v>0</v>
      </c>
      <c r="B128">
        <f>B127+$B$4</f>
        <v>0</v>
      </c>
      <c r="C128">
        <f>C127+$B$4/2*(D127+F127)</f>
        <v>0</v>
      </c>
      <c r="D128">
        <f>$B$1*C128^(3/4)*(1-(C128/$B$2)^(1/4))</f>
        <v>0</v>
      </c>
      <c r="E128">
        <f>C128+$B$4*D128</f>
        <v>0</v>
      </c>
      <c r="F128">
        <f>$B$1*E128^(3/4)*(1-(E128/$B$2)^(1/4))</f>
        <v>0</v>
      </c>
    </row>
    <row r="129" spans="1:6">
      <c r="A129">
        <f>A128+1</f>
        <v>0</v>
      </c>
      <c r="B129">
        <f>B128+$B$4</f>
        <v>0</v>
      </c>
      <c r="C129">
        <f>C128+$B$4/2*(D128+F128)</f>
        <v>0</v>
      </c>
      <c r="D129">
        <f>$B$1*C129^(3/4)*(1-(C129/$B$2)^(1/4))</f>
        <v>0</v>
      </c>
      <c r="E129">
        <f>C129+$B$4*D129</f>
        <v>0</v>
      </c>
      <c r="F129">
        <f>$B$1*E129^(3/4)*(1-(E129/$B$2)^(1/4))</f>
        <v>0</v>
      </c>
    </row>
    <row r="130" spans="1:6">
      <c r="A130">
        <f>A129+1</f>
        <v>0</v>
      </c>
      <c r="B130">
        <f>B129+$B$4</f>
        <v>0</v>
      </c>
      <c r="C130">
        <f>C129+$B$4/2*(D129+F129)</f>
        <v>0</v>
      </c>
      <c r="D130">
        <f>$B$1*C130^(3/4)*(1-(C130/$B$2)^(1/4))</f>
        <v>0</v>
      </c>
      <c r="E130">
        <f>C130+$B$4*D130</f>
        <v>0</v>
      </c>
      <c r="F130">
        <f>$B$1*E130^(3/4)*(1-(E130/$B$2)^(1/4))</f>
        <v>0</v>
      </c>
    </row>
    <row r="131" spans="1:6">
      <c r="A131">
        <f>A130+1</f>
        <v>0</v>
      </c>
      <c r="B131">
        <f>B130+$B$4</f>
        <v>0</v>
      </c>
      <c r="C131">
        <f>C130+$B$4/2*(D130+F130)</f>
        <v>0</v>
      </c>
      <c r="D131">
        <f>$B$1*C131^(3/4)*(1-(C131/$B$2)^(1/4))</f>
        <v>0</v>
      </c>
      <c r="E131">
        <f>C131+$B$4*D131</f>
        <v>0</v>
      </c>
      <c r="F131">
        <f>$B$1*E131^(3/4)*(1-(E131/$B$2)^(1/4))</f>
        <v>0</v>
      </c>
    </row>
    <row r="132" spans="1:6">
      <c r="A132">
        <f>A131+1</f>
        <v>0</v>
      </c>
      <c r="B132">
        <f>B131+$B$4</f>
        <v>0</v>
      </c>
      <c r="C132">
        <f>C131+$B$4/2*(D131+F131)</f>
        <v>0</v>
      </c>
      <c r="D132">
        <f>$B$1*C132^(3/4)*(1-(C132/$B$2)^(1/4))</f>
        <v>0</v>
      </c>
      <c r="E132">
        <f>C132+$B$4*D132</f>
        <v>0</v>
      </c>
      <c r="F132">
        <f>$B$1*E132^(3/4)*(1-(E132/$B$2)^(1/4))</f>
        <v>0</v>
      </c>
    </row>
    <row r="133" spans="1:6">
      <c r="A133">
        <f>A132+1</f>
        <v>0</v>
      </c>
      <c r="B133">
        <f>B132+$B$4</f>
        <v>0</v>
      </c>
      <c r="C133">
        <f>C132+$B$4/2*(D132+F132)</f>
        <v>0</v>
      </c>
      <c r="D133">
        <f>$B$1*C133^(3/4)*(1-(C133/$B$2)^(1/4))</f>
        <v>0</v>
      </c>
      <c r="E133">
        <f>C133+$B$4*D133</f>
        <v>0</v>
      </c>
      <c r="F133">
        <f>$B$1*E133^(3/4)*(1-(E133/$B$2)^(1/4))</f>
        <v>0</v>
      </c>
    </row>
    <row r="134" spans="1:6">
      <c r="A134">
        <f>A133+1</f>
        <v>0</v>
      </c>
      <c r="B134">
        <f>B133+$B$4</f>
        <v>0</v>
      </c>
      <c r="C134">
        <f>C133+$B$4/2*(D133+F133)</f>
        <v>0</v>
      </c>
      <c r="D134">
        <f>$B$1*C134^(3/4)*(1-(C134/$B$2)^(1/4))</f>
        <v>0</v>
      </c>
      <c r="E134">
        <f>C134+$B$4*D134</f>
        <v>0</v>
      </c>
      <c r="F134">
        <f>$B$1*E134^(3/4)*(1-(E134/$B$2)^(1/4))</f>
        <v>0</v>
      </c>
    </row>
    <row r="135" spans="1:6">
      <c r="A135">
        <f>A134+1</f>
        <v>0</v>
      </c>
      <c r="B135">
        <f>B134+$B$4</f>
        <v>0</v>
      </c>
      <c r="C135">
        <f>C134+$B$4/2*(D134+F134)</f>
        <v>0</v>
      </c>
      <c r="D135">
        <f>$B$1*C135^(3/4)*(1-(C135/$B$2)^(1/4))</f>
        <v>0</v>
      </c>
      <c r="E135">
        <f>C135+$B$4*D135</f>
        <v>0</v>
      </c>
      <c r="F135">
        <f>$B$1*E135^(3/4)*(1-(E135/$B$2)^(1/4))</f>
        <v>0</v>
      </c>
    </row>
    <row r="136" spans="1:6">
      <c r="A136">
        <f>A135+1</f>
        <v>0</v>
      </c>
      <c r="B136">
        <f>B135+$B$4</f>
        <v>0</v>
      </c>
      <c r="C136">
        <f>C135+$B$4/2*(D135+F135)</f>
        <v>0</v>
      </c>
      <c r="D136">
        <f>$B$1*C136^(3/4)*(1-(C136/$B$2)^(1/4))</f>
        <v>0</v>
      </c>
      <c r="E136">
        <f>C136+$B$4*D136</f>
        <v>0</v>
      </c>
      <c r="F136">
        <f>$B$1*E136^(3/4)*(1-(E136/$B$2)^(1/4))</f>
        <v>0</v>
      </c>
    </row>
    <row r="137" spans="1:6">
      <c r="A137">
        <f>A136+1</f>
        <v>0</v>
      </c>
      <c r="B137">
        <f>B136+$B$4</f>
        <v>0</v>
      </c>
      <c r="C137">
        <f>C136+$B$4/2*(D136+F136)</f>
        <v>0</v>
      </c>
      <c r="D137">
        <f>$B$1*C137^(3/4)*(1-(C137/$B$2)^(1/4))</f>
        <v>0</v>
      </c>
      <c r="E137">
        <f>C137+$B$4*D137</f>
        <v>0</v>
      </c>
      <c r="F137">
        <f>$B$1*E137^(3/4)*(1-(E137/$B$2)^(1/4))</f>
        <v>0</v>
      </c>
    </row>
    <row r="138" spans="1:6">
      <c r="A138">
        <f>A137+1</f>
        <v>0</v>
      </c>
      <c r="B138">
        <f>B137+$B$4</f>
        <v>0</v>
      </c>
      <c r="C138">
        <f>C137+$B$4/2*(D137+F137)</f>
        <v>0</v>
      </c>
      <c r="D138">
        <f>$B$1*C138^(3/4)*(1-(C138/$B$2)^(1/4))</f>
        <v>0</v>
      </c>
      <c r="E138">
        <f>C138+$B$4*D138</f>
        <v>0</v>
      </c>
      <c r="F138">
        <f>$B$1*E138^(3/4)*(1-(E138/$B$2)^(1/4))</f>
        <v>0</v>
      </c>
    </row>
    <row r="139" spans="1:6">
      <c r="A139">
        <f>A138+1</f>
        <v>0</v>
      </c>
      <c r="B139">
        <f>B138+$B$4</f>
        <v>0</v>
      </c>
      <c r="C139">
        <f>C138+$B$4/2*(D138+F138)</f>
        <v>0</v>
      </c>
      <c r="D139">
        <f>$B$1*C139^(3/4)*(1-(C139/$B$2)^(1/4))</f>
        <v>0</v>
      </c>
      <c r="E139">
        <f>C139+$B$4*D139</f>
        <v>0</v>
      </c>
      <c r="F139">
        <f>$B$1*E139^(3/4)*(1-(E139/$B$2)^(1/4))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FormatPr defaultRowHeight="15"/>
  <sheetData>
    <row r="1" spans="1:3">
      <c r="A1" t="s">
        <v>16</v>
      </c>
      <c r="B1">
        <v>5</v>
      </c>
    </row>
    <row r="2" spans="1:3">
      <c r="A2" t="s">
        <v>17</v>
      </c>
      <c r="B2">
        <v>2</v>
      </c>
    </row>
    <row r="3" spans="1:3">
      <c r="A3" t="s">
        <v>18</v>
      </c>
      <c r="B3">
        <v>0.5</v>
      </c>
    </row>
    <row r="4" spans="1:3">
      <c r="A4" t="s">
        <v>3</v>
      </c>
      <c r="B4">
        <v>0.5</v>
      </c>
    </row>
    <row r="5" spans="1:3">
      <c r="A5" t="s">
        <v>4</v>
      </c>
      <c r="B5">
        <v>20</v>
      </c>
    </row>
    <row r="6" spans="1:3">
      <c r="A6" t="s">
        <v>19</v>
      </c>
      <c r="B6">
        <f>(B1/B2)^3</f>
        <v>0</v>
      </c>
    </row>
    <row r="8" spans="1:3">
      <c r="A8" t="s">
        <v>5</v>
      </c>
    </row>
    <row r="9" spans="1:3">
      <c r="A9" t="s">
        <v>6</v>
      </c>
      <c r="B9" t="s">
        <v>7</v>
      </c>
      <c r="C9" t="s">
        <v>20</v>
      </c>
    </row>
    <row r="10" spans="1:3">
      <c r="A10">
        <v>0</v>
      </c>
      <c r="B10">
        <v>0</v>
      </c>
      <c r="C10">
        <f>(B1/B2 + (B3^(1/3) - B1/B2) * EXP(-B2*B10/3))^3</f>
        <v>0</v>
      </c>
    </row>
    <row r="11" spans="1:3">
      <c r="A11">
        <f>A10+1</f>
        <v>0</v>
      </c>
      <c r="B11">
        <f>B10+$B$4</f>
        <v>0</v>
      </c>
      <c r="C11">
        <f>(B1/B2 + (B3^(1/3) - B1/B2) * EXP(-B2*B11/3))^3</f>
        <v>0</v>
      </c>
    </row>
    <row r="12" spans="1:3">
      <c r="A12">
        <f>A11+1</f>
        <v>0</v>
      </c>
      <c r="B12">
        <f>B11+$B$4</f>
        <v>0</v>
      </c>
      <c r="C12">
        <f>(B1/B2 + (B3^(1/3) - B1/B2) * EXP(-B2*B12/3))^3</f>
        <v>0</v>
      </c>
    </row>
    <row r="13" spans="1:3">
      <c r="A13">
        <f>A12+1</f>
        <v>0</v>
      </c>
      <c r="B13">
        <f>B12+$B$4</f>
        <v>0</v>
      </c>
      <c r="C13">
        <f>(B1/B2 + (B3^(1/3) - B1/B2) * EXP(-B2*B13/3))^3</f>
        <v>0</v>
      </c>
    </row>
    <row r="14" spans="1:3">
      <c r="A14">
        <f>A13+1</f>
        <v>0</v>
      </c>
      <c r="B14">
        <f>B13+$B$4</f>
        <v>0</v>
      </c>
      <c r="C14">
        <f>(B1/B2 + (B3^(1/3) - B1/B2) * EXP(-B2*B14/3))^3</f>
        <v>0</v>
      </c>
    </row>
    <row r="15" spans="1:3">
      <c r="A15">
        <f>A14+1</f>
        <v>0</v>
      </c>
      <c r="B15">
        <f>B14+$B$4</f>
        <v>0</v>
      </c>
      <c r="C15">
        <f>(B1/B2 + (B3^(1/3) - B1/B2) * EXP(-B2*B15/3))^3</f>
        <v>0</v>
      </c>
    </row>
    <row r="16" spans="1:3">
      <c r="A16">
        <f>A15+1</f>
        <v>0</v>
      </c>
      <c r="B16">
        <f>B15+$B$4</f>
        <v>0</v>
      </c>
      <c r="C16">
        <f>(B1/B2 + (B3^(1/3) - B1/B2) * EXP(-B2*B16/3))^3</f>
        <v>0</v>
      </c>
    </row>
    <row r="17" spans="1:3">
      <c r="A17">
        <f>A16+1</f>
        <v>0</v>
      </c>
      <c r="B17">
        <f>B16+$B$4</f>
        <v>0</v>
      </c>
      <c r="C17">
        <f>(B1/B2 + (B3^(1/3) - B1/B2) * EXP(-B2*B17/3))^3</f>
        <v>0</v>
      </c>
    </row>
    <row r="18" spans="1:3">
      <c r="A18">
        <f>A17+1</f>
        <v>0</v>
      </c>
      <c r="B18">
        <f>B17+$B$4</f>
        <v>0</v>
      </c>
      <c r="C18">
        <f>(B1/B2 + (B3^(1/3) - B1/B2) * EXP(-B2*B18/3))^3</f>
        <v>0</v>
      </c>
    </row>
    <row r="19" spans="1:3">
      <c r="A19">
        <f>A18+1</f>
        <v>0</v>
      </c>
      <c r="B19">
        <f>B18+$B$4</f>
        <v>0</v>
      </c>
      <c r="C19">
        <f>(B1/B2 + (B3^(1/3) - B1/B2) * EXP(-B2*B19/3))^3</f>
        <v>0</v>
      </c>
    </row>
    <row r="20" spans="1:3">
      <c r="A20">
        <f>A19+1</f>
        <v>0</v>
      </c>
      <c r="B20">
        <f>B19+$B$4</f>
        <v>0</v>
      </c>
      <c r="C20">
        <f>(B1/B2 + (B3^(1/3) - B1/B2) * EXP(-B2*B20/3))^3</f>
        <v>0</v>
      </c>
    </row>
    <row r="21" spans="1:3">
      <c r="A21">
        <f>A20+1</f>
        <v>0</v>
      </c>
      <c r="B21">
        <f>B20+$B$4</f>
        <v>0</v>
      </c>
      <c r="C21">
        <f>(B1/B2 + (B3^(1/3) - B1/B2) * EXP(-B2*B21/3))^3</f>
        <v>0</v>
      </c>
    </row>
    <row r="22" spans="1:3">
      <c r="A22">
        <f>A21+1</f>
        <v>0</v>
      </c>
      <c r="B22">
        <f>B21+$B$4</f>
        <v>0</v>
      </c>
      <c r="C22">
        <f>(B1/B2 + (B3^(1/3) - B1/B2) * EXP(-B2*B22/3))^3</f>
        <v>0</v>
      </c>
    </row>
    <row r="23" spans="1:3">
      <c r="A23">
        <f>A22+1</f>
        <v>0</v>
      </c>
      <c r="B23">
        <f>B22+$B$4</f>
        <v>0</v>
      </c>
      <c r="C23">
        <f>(B1/B2 + (B3^(1/3) - B1/B2) * EXP(-B2*B23/3))^3</f>
        <v>0</v>
      </c>
    </row>
    <row r="24" spans="1:3">
      <c r="A24">
        <f>A23+1</f>
        <v>0</v>
      </c>
      <c r="B24">
        <f>B23+$B$4</f>
        <v>0</v>
      </c>
      <c r="C24">
        <f>(B1/B2 + (B3^(1/3) - B1/B2) * EXP(-B2*B24/3))^3</f>
        <v>0</v>
      </c>
    </row>
    <row r="25" spans="1:3">
      <c r="A25">
        <f>A24+1</f>
        <v>0</v>
      </c>
      <c r="B25">
        <f>B24+$B$4</f>
        <v>0</v>
      </c>
      <c r="C25">
        <f>(B1/B2 + (B3^(1/3) - B1/B2) * EXP(-B2*B25/3))^3</f>
        <v>0</v>
      </c>
    </row>
    <row r="26" spans="1:3">
      <c r="A26">
        <f>A25+1</f>
        <v>0</v>
      </c>
      <c r="B26">
        <f>B25+$B$4</f>
        <v>0</v>
      </c>
      <c r="C26">
        <f>(B1/B2 + (B3^(1/3) - B1/B2) * EXP(-B2*B26/3))^3</f>
        <v>0</v>
      </c>
    </row>
    <row r="27" spans="1:3">
      <c r="A27">
        <f>A26+1</f>
        <v>0</v>
      </c>
      <c r="B27">
        <f>B26+$B$4</f>
        <v>0</v>
      </c>
      <c r="C27">
        <f>(B1/B2 + (B3^(1/3) - B1/B2) * EXP(-B2*B27/3))^3</f>
        <v>0</v>
      </c>
    </row>
    <row r="28" spans="1:3">
      <c r="A28">
        <f>A27+1</f>
        <v>0</v>
      </c>
      <c r="B28">
        <f>B27+$B$4</f>
        <v>0</v>
      </c>
      <c r="C28">
        <f>(B1/B2 + (B3^(1/3) - B1/B2) * EXP(-B2*B28/3))^3</f>
        <v>0</v>
      </c>
    </row>
    <row r="29" spans="1:3">
      <c r="A29">
        <f>A28+1</f>
        <v>0</v>
      </c>
      <c r="B29">
        <f>B28+$B$4</f>
        <v>0</v>
      </c>
      <c r="C29">
        <f>(B1/B2 + (B3^(1/3) - B1/B2) * EXP(-B2*B29/3))^3</f>
        <v>0</v>
      </c>
    </row>
    <row r="30" spans="1:3">
      <c r="A30">
        <f>A29+1</f>
        <v>0</v>
      </c>
      <c r="B30">
        <f>B29+$B$4</f>
        <v>0</v>
      </c>
      <c r="C30">
        <f>(B1/B2 + (B3^(1/3) - B1/B2) * EXP(-B2*B30/3))^3</f>
        <v>0</v>
      </c>
    </row>
    <row r="31" spans="1:3">
      <c r="A31">
        <f>A30+1</f>
        <v>0</v>
      </c>
      <c r="B31">
        <f>B30+$B$4</f>
        <v>0</v>
      </c>
      <c r="C31">
        <f>(B1/B2 + (B3^(1/3) - B1/B2) * EXP(-B2*B31/3))^3</f>
        <v>0</v>
      </c>
    </row>
    <row r="32" spans="1:3">
      <c r="A32">
        <f>A31+1</f>
        <v>0</v>
      </c>
      <c r="B32">
        <f>B31+$B$4</f>
        <v>0</v>
      </c>
      <c r="C32">
        <f>(B1/B2 + (B3^(1/3) - B1/B2) * EXP(-B2*B32/3))^3</f>
        <v>0</v>
      </c>
    </row>
    <row r="33" spans="1:3">
      <c r="A33">
        <f>A32+1</f>
        <v>0</v>
      </c>
      <c r="B33">
        <f>B32+$B$4</f>
        <v>0</v>
      </c>
      <c r="C33">
        <f>(B1/B2 + (B3^(1/3) - B1/B2) * EXP(-B2*B33/3))^3</f>
        <v>0</v>
      </c>
    </row>
    <row r="34" spans="1:3">
      <c r="A34">
        <f>A33+1</f>
        <v>0</v>
      </c>
      <c r="B34">
        <f>B33+$B$4</f>
        <v>0</v>
      </c>
      <c r="C34">
        <f>(B1/B2 + (B3^(1/3) - B1/B2) * EXP(-B2*B34/3))^3</f>
        <v>0</v>
      </c>
    </row>
    <row r="35" spans="1:3">
      <c r="A35">
        <f>A34+1</f>
        <v>0</v>
      </c>
      <c r="B35">
        <f>B34+$B$4</f>
        <v>0</v>
      </c>
      <c r="C35">
        <f>(B1/B2 + (B3^(1/3) - B1/B2) * EXP(-B2*B35/3))^3</f>
        <v>0</v>
      </c>
    </row>
    <row r="36" spans="1:3">
      <c r="A36">
        <f>A35+1</f>
        <v>0</v>
      </c>
      <c r="B36">
        <f>B35+$B$4</f>
        <v>0</v>
      </c>
      <c r="C36">
        <f>(B1/B2 + (B3^(1/3) - B1/B2) * EXP(-B2*B36/3))^3</f>
        <v>0</v>
      </c>
    </row>
    <row r="37" spans="1:3">
      <c r="A37">
        <f>A36+1</f>
        <v>0</v>
      </c>
      <c r="B37">
        <f>B36+$B$4</f>
        <v>0</v>
      </c>
      <c r="C37">
        <f>(B1/B2 + (B3^(1/3) - B1/B2) * EXP(-B2*B37/3))^3</f>
        <v>0</v>
      </c>
    </row>
    <row r="38" spans="1:3">
      <c r="A38">
        <f>A37+1</f>
        <v>0</v>
      </c>
      <c r="B38">
        <f>B37+$B$4</f>
        <v>0</v>
      </c>
      <c r="C38">
        <f>(B1/B2 + (B3^(1/3) - B1/B2) * EXP(-B2*B38/3))^3</f>
        <v>0</v>
      </c>
    </row>
    <row r="39" spans="1:3">
      <c r="A39">
        <f>A38+1</f>
        <v>0</v>
      </c>
      <c r="B39">
        <f>B38+$B$4</f>
        <v>0</v>
      </c>
      <c r="C39">
        <f>(B1/B2 + (B3^(1/3) - B1/B2) * EXP(-B2*B39/3))^3</f>
        <v>0</v>
      </c>
    </row>
    <row r="40" spans="1:3">
      <c r="A40">
        <f>A39+1</f>
        <v>0</v>
      </c>
      <c r="B40">
        <f>B39+$B$4</f>
        <v>0</v>
      </c>
      <c r="C40">
        <f>(B1/B2 + (B3^(1/3) - B1/B2) * EXP(-B2*B40/3))^3</f>
        <v>0</v>
      </c>
    </row>
    <row r="41" spans="1:3">
      <c r="A41">
        <f>A40+1</f>
        <v>0</v>
      </c>
      <c r="B41">
        <f>B40+$B$4</f>
        <v>0</v>
      </c>
      <c r="C41">
        <f>(B1/B2 + (B3^(1/3) - B1/B2) * EXP(-B2*B41/3))^3</f>
        <v>0</v>
      </c>
    </row>
    <row r="42" spans="1:3">
      <c r="A42">
        <f>A41+1</f>
        <v>0</v>
      </c>
      <c r="B42">
        <f>B41+$B$4</f>
        <v>0</v>
      </c>
      <c r="C42">
        <f>(B1/B2 + (B3^(1/3) - B1/B2) * EXP(-B2*B42/3))^3</f>
        <v>0</v>
      </c>
    </row>
    <row r="43" spans="1:3">
      <c r="A43">
        <f>A42+1</f>
        <v>0</v>
      </c>
      <c r="B43">
        <f>B42+$B$4</f>
        <v>0</v>
      </c>
      <c r="C43">
        <f>(B1/B2 + (B3^(1/3) - B1/B2) * EXP(-B2*B43/3))^3</f>
        <v>0</v>
      </c>
    </row>
    <row r="44" spans="1:3">
      <c r="A44">
        <f>A43+1</f>
        <v>0</v>
      </c>
      <c r="B44">
        <f>B43+$B$4</f>
        <v>0</v>
      </c>
      <c r="C44">
        <f>(B1/B2 + (B3^(1/3) - B1/B2) * EXP(-B2*B44/3))^3</f>
        <v>0</v>
      </c>
    </row>
    <row r="45" spans="1:3">
      <c r="A45">
        <f>A44+1</f>
        <v>0</v>
      </c>
      <c r="B45">
        <f>B44+$B$4</f>
        <v>0</v>
      </c>
      <c r="C45">
        <f>(B1/B2 + (B3^(1/3) - B1/B2) * EXP(-B2*B45/3))^3</f>
        <v>0</v>
      </c>
    </row>
    <row r="46" spans="1:3">
      <c r="A46">
        <f>A45+1</f>
        <v>0</v>
      </c>
      <c r="B46">
        <f>B45+$B$4</f>
        <v>0</v>
      </c>
      <c r="C46">
        <f>(B1/B2 + (B3^(1/3) - B1/B2) * EXP(-B2*B46/3))^3</f>
        <v>0</v>
      </c>
    </row>
    <row r="47" spans="1:3">
      <c r="A47">
        <f>A46+1</f>
        <v>0</v>
      </c>
      <c r="B47">
        <f>B46+$B$4</f>
        <v>0</v>
      </c>
      <c r="C47">
        <f>(B1/B2 + (B3^(1/3) - B1/B2) * EXP(-B2*B47/3))^3</f>
        <v>0</v>
      </c>
    </row>
    <row r="48" spans="1:3">
      <c r="A48">
        <f>A47+1</f>
        <v>0</v>
      </c>
      <c r="B48">
        <f>B47+$B$4</f>
        <v>0</v>
      </c>
      <c r="C48">
        <f>(B1/B2 + (B3^(1/3) - B1/B2) * EXP(-B2*B48/3))^3</f>
        <v>0</v>
      </c>
    </row>
    <row r="49" spans="1:4">
      <c r="A49">
        <f>A48+1</f>
        <v>0</v>
      </c>
      <c r="B49">
        <f>B48+$B$4</f>
        <v>0</v>
      </c>
      <c r="C49">
        <f>(B1/B2 + (B3^(1/3) - B1/B2) * EXP(-B2*B49/3))^3</f>
        <v>0</v>
      </c>
    </row>
    <row r="50" spans="1:4">
      <c r="A50">
        <f>A49+1</f>
        <v>0</v>
      </c>
      <c r="B50">
        <f>B49+$B$4</f>
        <v>0</v>
      </c>
      <c r="C50">
        <f>(B1/B2 + (B3^(1/3) - B1/B2) * EXP(-B2*B50/3))^3</f>
        <v>0</v>
      </c>
    </row>
    <row r="53" spans="1:4">
      <c r="A53" t="s">
        <v>9</v>
      </c>
    </row>
    <row r="54" spans="1:4">
      <c r="A54" t="s">
        <v>6</v>
      </c>
      <c r="B54" t="s">
        <v>7</v>
      </c>
      <c r="C54" t="s">
        <v>21</v>
      </c>
      <c r="D54" t="s">
        <v>22</v>
      </c>
    </row>
    <row r="55" spans="1:4">
      <c r="A55">
        <v>0</v>
      </c>
      <c r="B55">
        <v>0</v>
      </c>
      <c r="C55">
        <f>$B$3</f>
        <v>0</v>
      </c>
      <c r="D55">
        <f>$B$1*C55^(2/3) - $B$2*C55</f>
        <v>0</v>
      </c>
    </row>
    <row r="56" spans="1:4">
      <c r="A56">
        <f>A55+1</f>
        <v>0</v>
      </c>
      <c r="B56">
        <f>B55+$B$4</f>
        <v>0</v>
      </c>
      <c r="C56">
        <f>C55+$B$4*D55</f>
        <v>0</v>
      </c>
      <c r="D56">
        <f>$B$1*C56^(2/3) - $B$2*C56</f>
        <v>0</v>
      </c>
    </row>
    <row r="57" spans="1:4">
      <c r="A57">
        <f>A56+1</f>
        <v>0</v>
      </c>
      <c r="B57">
        <f>B56+$B$4</f>
        <v>0</v>
      </c>
      <c r="C57">
        <f>C56+$B$4*D56</f>
        <v>0</v>
      </c>
      <c r="D57">
        <f>$B$1*C57^(2/3) - $B$2*C57</f>
        <v>0</v>
      </c>
    </row>
    <row r="58" spans="1:4">
      <c r="A58">
        <f>A57+1</f>
        <v>0</v>
      </c>
      <c r="B58">
        <f>B57+$B$4</f>
        <v>0</v>
      </c>
      <c r="C58">
        <f>C57+$B$4*D57</f>
        <v>0</v>
      </c>
      <c r="D58">
        <f>$B$1*C58^(2/3) - $B$2*C58</f>
        <v>0</v>
      </c>
    </row>
    <row r="59" spans="1:4">
      <c r="A59">
        <f>A58+1</f>
        <v>0</v>
      </c>
      <c r="B59">
        <f>B58+$B$4</f>
        <v>0</v>
      </c>
      <c r="C59">
        <f>C58+$B$4*D58</f>
        <v>0</v>
      </c>
      <c r="D59">
        <f>$B$1*C59^(2/3) - $B$2*C59</f>
        <v>0</v>
      </c>
    </row>
    <row r="60" spans="1:4">
      <c r="A60">
        <f>A59+1</f>
        <v>0</v>
      </c>
      <c r="B60">
        <f>B59+$B$4</f>
        <v>0</v>
      </c>
      <c r="C60">
        <f>C59+$B$4*D59</f>
        <v>0</v>
      </c>
      <c r="D60">
        <f>$B$1*C60^(2/3) - $B$2*C60</f>
        <v>0</v>
      </c>
    </row>
    <row r="61" spans="1:4">
      <c r="A61">
        <f>A60+1</f>
        <v>0</v>
      </c>
      <c r="B61">
        <f>B60+$B$4</f>
        <v>0</v>
      </c>
      <c r="C61">
        <f>C60+$B$4*D60</f>
        <v>0</v>
      </c>
      <c r="D61">
        <f>$B$1*C61^(2/3) - $B$2*C61</f>
        <v>0</v>
      </c>
    </row>
    <row r="62" spans="1:4">
      <c r="A62">
        <f>A61+1</f>
        <v>0</v>
      </c>
      <c r="B62">
        <f>B61+$B$4</f>
        <v>0</v>
      </c>
      <c r="C62">
        <f>C61+$B$4*D61</f>
        <v>0</v>
      </c>
      <c r="D62">
        <f>$B$1*C62^(2/3) - $B$2*C62</f>
        <v>0</v>
      </c>
    </row>
    <row r="63" spans="1:4">
      <c r="A63">
        <f>A62+1</f>
        <v>0</v>
      </c>
      <c r="B63">
        <f>B62+$B$4</f>
        <v>0</v>
      </c>
      <c r="C63">
        <f>C62+$B$4*D62</f>
        <v>0</v>
      </c>
      <c r="D63">
        <f>$B$1*C63^(2/3) - $B$2*C63</f>
        <v>0</v>
      </c>
    </row>
    <row r="64" spans="1:4">
      <c r="A64">
        <f>A63+1</f>
        <v>0</v>
      </c>
      <c r="B64">
        <f>B63+$B$4</f>
        <v>0</v>
      </c>
      <c r="C64">
        <f>C63+$B$4*D63</f>
        <v>0</v>
      </c>
      <c r="D64">
        <f>$B$1*C64^(2/3) - $B$2*C64</f>
        <v>0</v>
      </c>
    </row>
    <row r="65" spans="1:4">
      <c r="A65">
        <f>A64+1</f>
        <v>0</v>
      </c>
      <c r="B65">
        <f>B64+$B$4</f>
        <v>0</v>
      </c>
      <c r="C65">
        <f>C64+$B$4*D64</f>
        <v>0</v>
      </c>
      <c r="D65">
        <f>$B$1*C65^(2/3) - $B$2*C65</f>
        <v>0</v>
      </c>
    </row>
    <row r="66" spans="1:4">
      <c r="A66">
        <f>A65+1</f>
        <v>0</v>
      </c>
      <c r="B66">
        <f>B65+$B$4</f>
        <v>0</v>
      </c>
      <c r="C66">
        <f>C65+$B$4*D65</f>
        <v>0</v>
      </c>
      <c r="D66">
        <f>$B$1*C66^(2/3) - $B$2*C66</f>
        <v>0</v>
      </c>
    </row>
    <row r="67" spans="1:4">
      <c r="A67">
        <f>A66+1</f>
        <v>0</v>
      </c>
      <c r="B67">
        <f>B66+$B$4</f>
        <v>0</v>
      </c>
      <c r="C67">
        <f>C66+$B$4*D66</f>
        <v>0</v>
      </c>
      <c r="D67">
        <f>$B$1*C67^(2/3) - $B$2*C67</f>
        <v>0</v>
      </c>
    </row>
    <row r="68" spans="1:4">
      <c r="A68">
        <f>A67+1</f>
        <v>0</v>
      </c>
      <c r="B68">
        <f>B67+$B$4</f>
        <v>0</v>
      </c>
      <c r="C68">
        <f>C67+$B$4*D67</f>
        <v>0</v>
      </c>
      <c r="D68">
        <f>$B$1*C68^(2/3) - $B$2*C68</f>
        <v>0</v>
      </c>
    </row>
    <row r="69" spans="1:4">
      <c r="A69">
        <f>A68+1</f>
        <v>0</v>
      </c>
      <c r="B69">
        <f>B68+$B$4</f>
        <v>0</v>
      </c>
      <c r="C69">
        <f>C68+$B$4*D68</f>
        <v>0</v>
      </c>
      <c r="D69">
        <f>$B$1*C69^(2/3) - $B$2*C69</f>
        <v>0</v>
      </c>
    </row>
    <row r="70" spans="1:4">
      <c r="A70">
        <f>A69+1</f>
        <v>0</v>
      </c>
      <c r="B70">
        <f>B69+$B$4</f>
        <v>0</v>
      </c>
      <c r="C70">
        <f>C69+$B$4*D69</f>
        <v>0</v>
      </c>
      <c r="D70">
        <f>$B$1*C70^(2/3) - $B$2*C70</f>
        <v>0</v>
      </c>
    </row>
    <row r="71" spans="1:4">
      <c r="A71">
        <f>A70+1</f>
        <v>0</v>
      </c>
      <c r="B71">
        <f>B70+$B$4</f>
        <v>0</v>
      </c>
      <c r="C71">
        <f>C70+$B$4*D70</f>
        <v>0</v>
      </c>
      <c r="D71">
        <f>$B$1*C71^(2/3) - $B$2*C71</f>
        <v>0</v>
      </c>
    </row>
    <row r="72" spans="1:4">
      <c r="A72">
        <f>A71+1</f>
        <v>0</v>
      </c>
      <c r="B72">
        <f>B71+$B$4</f>
        <v>0</v>
      </c>
      <c r="C72">
        <f>C71+$B$4*D71</f>
        <v>0</v>
      </c>
      <c r="D72">
        <f>$B$1*C72^(2/3) - $B$2*C72</f>
        <v>0</v>
      </c>
    </row>
    <row r="73" spans="1:4">
      <c r="A73">
        <f>A72+1</f>
        <v>0</v>
      </c>
      <c r="B73">
        <f>B72+$B$4</f>
        <v>0</v>
      </c>
      <c r="C73">
        <f>C72+$B$4*D72</f>
        <v>0</v>
      </c>
      <c r="D73">
        <f>$B$1*C73^(2/3) - $B$2*C73</f>
        <v>0</v>
      </c>
    </row>
    <row r="74" spans="1:4">
      <c r="A74">
        <f>A73+1</f>
        <v>0</v>
      </c>
      <c r="B74">
        <f>B73+$B$4</f>
        <v>0</v>
      </c>
      <c r="C74">
        <f>C73+$B$4*D73</f>
        <v>0</v>
      </c>
      <c r="D74">
        <f>$B$1*C74^(2/3) - $B$2*C74</f>
        <v>0</v>
      </c>
    </row>
    <row r="75" spans="1:4">
      <c r="A75">
        <f>A74+1</f>
        <v>0</v>
      </c>
      <c r="B75">
        <f>B74+$B$4</f>
        <v>0</v>
      </c>
      <c r="C75">
        <f>C74+$B$4*D74</f>
        <v>0</v>
      </c>
      <c r="D75">
        <f>$B$1*C75^(2/3) - $B$2*C75</f>
        <v>0</v>
      </c>
    </row>
    <row r="76" spans="1:4">
      <c r="A76">
        <f>A75+1</f>
        <v>0</v>
      </c>
      <c r="B76">
        <f>B75+$B$4</f>
        <v>0</v>
      </c>
      <c r="C76">
        <f>C75+$B$4*D75</f>
        <v>0</v>
      </c>
      <c r="D76">
        <f>$B$1*C76^(2/3) - $B$2*C76</f>
        <v>0</v>
      </c>
    </row>
    <row r="77" spans="1:4">
      <c r="A77">
        <f>A76+1</f>
        <v>0</v>
      </c>
      <c r="B77">
        <f>B76+$B$4</f>
        <v>0</v>
      </c>
      <c r="C77">
        <f>C76+$B$4*D76</f>
        <v>0</v>
      </c>
      <c r="D77">
        <f>$B$1*C77^(2/3) - $B$2*C77</f>
        <v>0</v>
      </c>
    </row>
    <row r="78" spans="1:4">
      <c r="A78">
        <f>A77+1</f>
        <v>0</v>
      </c>
      <c r="B78">
        <f>B77+$B$4</f>
        <v>0</v>
      </c>
      <c r="C78">
        <f>C77+$B$4*D77</f>
        <v>0</v>
      </c>
      <c r="D78">
        <f>$B$1*C78^(2/3) - $B$2*C78</f>
        <v>0</v>
      </c>
    </row>
    <row r="79" spans="1:4">
      <c r="A79">
        <f>A78+1</f>
        <v>0</v>
      </c>
      <c r="B79">
        <f>B78+$B$4</f>
        <v>0</v>
      </c>
      <c r="C79">
        <f>C78+$B$4*D78</f>
        <v>0</v>
      </c>
      <c r="D79">
        <f>$B$1*C79^(2/3) - $B$2*C79</f>
        <v>0</v>
      </c>
    </row>
    <row r="80" spans="1:4">
      <c r="A80">
        <f>A79+1</f>
        <v>0</v>
      </c>
      <c r="B80">
        <f>B79+$B$4</f>
        <v>0</v>
      </c>
      <c r="C80">
        <f>C79+$B$4*D79</f>
        <v>0</v>
      </c>
      <c r="D80">
        <f>$B$1*C80^(2/3) - $B$2*C80</f>
        <v>0</v>
      </c>
    </row>
    <row r="81" spans="1:4">
      <c r="A81">
        <f>A80+1</f>
        <v>0</v>
      </c>
      <c r="B81">
        <f>B80+$B$4</f>
        <v>0</v>
      </c>
      <c r="C81">
        <f>C80+$B$4*D80</f>
        <v>0</v>
      </c>
      <c r="D81">
        <f>$B$1*C81^(2/3) - $B$2*C81</f>
        <v>0</v>
      </c>
    </row>
    <row r="82" spans="1:4">
      <c r="A82">
        <f>A81+1</f>
        <v>0</v>
      </c>
      <c r="B82">
        <f>B81+$B$4</f>
        <v>0</v>
      </c>
      <c r="C82">
        <f>C81+$B$4*D81</f>
        <v>0</v>
      </c>
      <c r="D82">
        <f>$B$1*C82^(2/3) - $B$2*C82</f>
        <v>0</v>
      </c>
    </row>
    <row r="83" spans="1:4">
      <c r="A83">
        <f>A82+1</f>
        <v>0</v>
      </c>
      <c r="B83">
        <f>B82+$B$4</f>
        <v>0</v>
      </c>
      <c r="C83">
        <f>C82+$B$4*D82</f>
        <v>0</v>
      </c>
      <c r="D83">
        <f>$B$1*C83^(2/3) - $B$2*C83</f>
        <v>0</v>
      </c>
    </row>
    <row r="84" spans="1:4">
      <c r="A84">
        <f>A83+1</f>
        <v>0</v>
      </c>
      <c r="B84">
        <f>B83+$B$4</f>
        <v>0</v>
      </c>
      <c r="C84">
        <f>C83+$B$4*D83</f>
        <v>0</v>
      </c>
      <c r="D84">
        <f>$B$1*C84^(2/3) - $B$2*C84</f>
        <v>0</v>
      </c>
    </row>
    <row r="85" spans="1:4">
      <c r="A85">
        <f>A84+1</f>
        <v>0</v>
      </c>
      <c r="B85">
        <f>B84+$B$4</f>
        <v>0</v>
      </c>
      <c r="C85">
        <f>C84+$B$4*D84</f>
        <v>0</v>
      </c>
      <c r="D85">
        <f>$B$1*C85^(2/3) - $B$2*C85</f>
        <v>0</v>
      </c>
    </row>
    <row r="86" spans="1:4">
      <c r="A86">
        <f>A85+1</f>
        <v>0</v>
      </c>
      <c r="B86">
        <f>B85+$B$4</f>
        <v>0</v>
      </c>
      <c r="C86">
        <f>C85+$B$4*D85</f>
        <v>0</v>
      </c>
      <c r="D86">
        <f>$B$1*C86^(2/3) - $B$2*C86</f>
        <v>0</v>
      </c>
    </row>
    <row r="87" spans="1:4">
      <c r="A87">
        <f>A86+1</f>
        <v>0</v>
      </c>
      <c r="B87">
        <f>B86+$B$4</f>
        <v>0</v>
      </c>
      <c r="C87">
        <f>C86+$B$4*D86</f>
        <v>0</v>
      </c>
      <c r="D87">
        <f>$B$1*C87^(2/3) - $B$2*C87</f>
        <v>0</v>
      </c>
    </row>
    <row r="88" spans="1:4">
      <c r="A88">
        <f>A87+1</f>
        <v>0</v>
      </c>
      <c r="B88">
        <f>B87+$B$4</f>
        <v>0</v>
      </c>
      <c r="C88">
        <f>C87+$B$4*D87</f>
        <v>0</v>
      </c>
      <c r="D88">
        <f>$B$1*C88^(2/3) - $B$2*C88</f>
        <v>0</v>
      </c>
    </row>
    <row r="89" spans="1:4">
      <c r="A89">
        <f>A88+1</f>
        <v>0</v>
      </c>
      <c r="B89">
        <f>B88+$B$4</f>
        <v>0</v>
      </c>
      <c r="C89">
        <f>C88+$B$4*D88</f>
        <v>0</v>
      </c>
      <c r="D89">
        <f>$B$1*C89^(2/3) - $B$2*C89</f>
        <v>0</v>
      </c>
    </row>
    <row r="90" spans="1:4">
      <c r="A90">
        <f>A89+1</f>
        <v>0</v>
      </c>
      <c r="B90">
        <f>B89+$B$4</f>
        <v>0</v>
      </c>
      <c r="C90">
        <f>C89+$B$4*D89</f>
        <v>0</v>
      </c>
      <c r="D90">
        <f>$B$1*C90^(2/3) - $B$2*C90</f>
        <v>0</v>
      </c>
    </row>
    <row r="91" spans="1:4">
      <c r="A91">
        <f>A90+1</f>
        <v>0</v>
      </c>
      <c r="B91">
        <f>B90+$B$4</f>
        <v>0</v>
      </c>
      <c r="C91">
        <f>C90+$B$4*D90</f>
        <v>0</v>
      </c>
      <c r="D91">
        <f>$B$1*C91^(2/3) - $B$2*C91</f>
        <v>0</v>
      </c>
    </row>
    <row r="92" spans="1:4">
      <c r="A92">
        <f>A91+1</f>
        <v>0</v>
      </c>
      <c r="B92">
        <f>B91+$B$4</f>
        <v>0</v>
      </c>
      <c r="C92">
        <f>C91+$B$4*D91</f>
        <v>0</v>
      </c>
      <c r="D92">
        <f>$B$1*C92^(2/3) - $B$2*C92</f>
        <v>0</v>
      </c>
    </row>
    <row r="93" spans="1:4">
      <c r="A93">
        <f>A92+1</f>
        <v>0</v>
      </c>
      <c r="B93">
        <f>B92+$B$4</f>
        <v>0</v>
      </c>
      <c r="C93">
        <f>C92+$B$4*D92</f>
        <v>0</v>
      </c>
      <c r="D93">
        <f>$B$1*C93^(2/3) - $B$2*C93</f>
        <v>0</v>
      </c>
    </row>
    <row r="94" spans="1:4">
      <c r="A94">
        <f>A93+1</f>
        <v>0</v>
      </c>
      <c r="B94">
        <f>B93+$B$4</f>
        <v>0</v>
      </c>
      <c r="C94">
        <f>C93+$B$4*D93</f>
        <v>0</v>
      </c>
      <c r="D94">
        <f>$B$1*C94^(2/3) - $B$2*C94</f>
        <v>0</v>
      </c>
    </row>
    <row r="95" spans="1:4">
      <c r="A95">
        <f>A94+1</f>
        <v>0</v>
      </c>
      <c r="B95">
        <f>B94+$B$4</f>
        <v>0</v>
      </c>
      <c r="C95">
        <f>C94+$B$4*D94</f>
        <v>0</v>
      </c>
      <c r="D95">
        <f>$B$1*C95^(2/3) - $B$2*C95</f>
        <v>0</v>
      </c>
    </row>
    <row r="98" spans="1:6">
      <c r="A98" t="s">
        <v>12</v>
      </c>
    </row>
    <row r="99" spans="1:6">
      <c r="A99" t="s">
        <v>6</v>
      </c>
      <c r="B99" t="s">
        <v>7</v>
      </c>
      <c r="C99" t="s">
        <v>23</v>
      </c>
      <c r="D99" t="s">
        <v>22</v>
      </c>
      <c r="E99" t="s">
        <v>24</v>
      </c>
      <c r="F99" t="s">
        <v>15</v>
      </c>
    </row>
    <row r="100" spans="1:6">
      <c r="A100">
        <v>0</v>
      </c>
      <c r="B100">
        <v>0</v>
      </c>
      <c r="C100">
        <f>$B$3</f>
        <v>0</v>
      </c>
      <c r="D100">
        <f>$B$1*C100^(2/3) - $B$2*C100</f>
        <v>0</v>
      </c>
      <c r="E100">
        <f>C100+$B$4*D100</f>
        <v>0</v>
      </c>
      <c r="F100">
        <f>$B$1*E100^(2/3) - $B$2*E100</f>
        <v>0</v>
      </c>
    </row>
    <row r="101" spans="1:6">
      <c r="A101">
        <f>A100+1</f>
        <v>0</v>
      </c>
      <c r="B101">
        <f>B100+$B$4</f>
        <v>0</v>
      </c>
      <c r="C101">
        <f>C100+$B$4/2*(D100+F100)</f>
        <v>0</v>
      </c>
      <c r="D101">
        <f>$B$1*C101^(2/3) - $B$2*C101</f>
        <v>0</v>
      </c>
      <c r="E101">
        <f>C101+$B$4*D101</f>
        <v>0</v>
      </c>
      <c r="F101">
        <f>$B$1*E101^(2/3) - $B$2*E101</f>
        <v>0</v>
      </c>
    </row>
    <row r="102" spans="1:6">
      <c r="A102">
        <f>A101+1</f>
        <v>0</v>
      </c>
      <c r="B102">
        <f>B101+$B$4</f>
        <v>0</v>
      </c>
      <c r="C102">
        <f>C101+$B$4/2*(D101+F101)</f>
        <v>0</v>
      </c>
      <c r="D102">
        <f>$B$1*C102^(2/3) - $B$2*C102</f>
        <v>0</v>
      </c>
      <c r="E102">
        <f>C102+$B$4*D102</f>
        <v>0</v>
      </c>
      <c r="F102">
        <f>$B$1*E102^(2/3) - $B$2*E102</f>
        <v>0</v>
      </c>
    </row>
    <row r="103" spans="1:6">
      <c r="A103">
        <f>A102+1</f>
        <v>0</v>
      </c>
      <c r="B103">
        <f>B102+$B$4</f>
        <v>0</v>
      </c>
      <c r="C103">
        <f>C102+$B$4/2*(D102+F102)</f>
        <v>0</v>
      </c>
      <c r="D103">
        <f>$B$1*C103^(2/3) - $B$2*C103</f>
        <v>0</v>
      </c>
      <c r="E103">
        <f>C103+$B$4*D103</f>
        <v>0</v>
      </c>
      <c r="F103">
        <f>$B$1*E103^(2/3) - $B$2*E103</f>
        <v>0</v>
      </c>
    </row>
    <row r="104" spans="1:6">
      <c r="A104">
        <f>A103+1</f>
        <v>0</v>
      </c>
      <c r="B104">
        <f>B103+$B$4</f>
        <v>0</v>
      </c>
      <c r="C104">
        <f>C103+$B$4/2*(D103+F103)</f>
        <v>0</v>
      </c>
      <c r="D104">
        <f>$B$1*C104^(2/3) - $B$2*C104</f>
        <v>0</v>
      </c>
      <c r="E104">
        <f>C104+$B$4*D104</f>
        <v>0</v>
      </c>
      <c r="F104">
        <f>$B$1*E104^(2/3) - $B$2*E104</f>
        <v>0</v>
      </c>
    </row>
    <row r="105" spans="1:6">
      <c r="A105">
        <f>A104+1</f>
        <v>0</v>
      </c>
      <c r="B105">
        <f>B104+$B$4</f>
        <v>0</v>
      </c>
      <c r="C105">
        <f>C104+$B$4/2*(D104+F104)</f>
        <v>0</v>
      </c>
      <c r="D105">
        <f>$B$1*C105^(2/3) - $B$2*C105</f>
        <v>0</v>
      </c>
      <c r="E105">
        <f>C105+$B$4*D105</f>
        <v>0</v>
      </c>
      <c r="F105">
        <f>$B$1*E105^(2/3) - $B$2*E105</f>
        <v>0</v>
      </c>
    </row>
    <row r="106" spans="1:6">
      <c r="A106">
        <f>A105+1</f>
        <v>0</v>
      </c>
      <c r="B106">
        <f>B105+$B$4</f>
        <v>0</v>
      </c>
      <c r="C106">
        <f>C105+$B$4/2*(D105+F105)</f>
        <v>0</v>
      </c>
      <c r="D106">
        <f>$B$1*C106^(2/3) - $B$2*C106</f>
        <v>0</v>
      </c>
      <c r="E106">
        <f>C106+$B$4*D106</f>
        <v>0</v>
      </c>
      <c r="F106">
        <f>$B$1*E106^(2/3) - $B$2*E106</f>
        <v>0</v>
      </c>
    </row>
    <row r="107" spans="1:6">
      <c r="A107">
        <f>A106+1</f>
        <v>0</v>
      </c>
      <c r="B107">
        <f>B106+$B$4</f>
        <v>0</v>
      </c>
      <c r="C107">
        <f>C106+$B$4/2*(D106+F106)</f>
        <v>0</v>
      </c>
      <c r="D107">
        <f>$B$1*C107^(2/3) - $B$2*C107</f>
        <v>0</v>
      </c>
      <c r="E107">
        <f>C107+$B$4*D107</f>
        <v>0</v>
      </c>
      <c r="F107">
        <f>$B$1*E107^(2/3) - $B$2*E107</f>
        <v>0</v>
      </c>
    </row>
    <row r="108" spans="1:6">
      <c r="A108">
        <f>A107+1</f>
        <v>0</v>
      </c>
      <c r="B108">
        <f>B107+$B$4</f>
        <v>0</v>
      </c>
      <c r="C108">
        <f>C107+$B$4/2*(D107+F107)</f>
        <v>0</v>
      </c>
      <c r="D108">
        <f>$B$1*C108^(2/3) - $B$2*C108</f>
        <v>0</v>
      </c>
      <c r="E108">
        <f>C108+$B$4*D108</f>
        <v>0</v>
      </c>
      <c r="F108">
        <f>$B$1*E108^(2/3) - $B$2*E108</f>
        <v>0</v>
      </c>
    </row>
    <row r="109" spans="1:6">
      <c r="A109">
        <f>A108+1</f>
        <v>0</v>
      </c>
      <c r="B109">
        <f>B108+$B$4</f>
        <v>0</v>
      </c>
      <c r="C109">
        <f>C108+$B$4/2*(D108+F108)</f>
        <v>0</v>
      </c>
      <c r="D109">
        <f>$B$1*C109^(2/3) - $B$2*C109</f>
        <v>0</v>
      </c>
      <c r="E109">
        <f>C109+$B$4*D109</f>
        <v>0</v>
      </c>
      <c r="F109">
        <f>$B$1*E109^(2/3) - $B$2*E109</f>
        <v>0</v>
      </c>
    </row>
    <row r="110" spans="1:6">
      <c r="A110">
        <f>A109+1</f>
        <v>0</v>
      </c>
      <c r="B110">
        <f>B109+$B$4</f>
        <v>0</v>
      </c>
      <c r="C110">
        <f>C109+$B$4/2*(D109+F109)</f>
        <v>0</v>
      </c>
      <c r="D110">
        <f>$B$1*C110^(2/3) - $B$2*C110</f>
        <v>0</v>
      </c>
      <c r="E110">
        <f>C110+$B$4*D110</f>
        <v>0</v>
      </c>
      <c r="F110">
        <f>$B$1*E110^(2/3) - $B$2*E110</f>
        <v>0</v>
      </c>
    </row>
    <row r="111" spans="1:6">
      <c r="A111">
        <f>A110+1</f>
        <v>0</v>
      </c>
      <c r="B111">
        <f>B110+$B$4</f>
        <v>0</v>
      </c>
      <c r="C111">
        <f>C110+$B$4/2*(D110+F110)</f>
        <v>0</v>
      </c>
      <c r="D111">
        <f>$B$1*C111^(2/3) - $B$2*C111</f>
        <v>0</v>
      </c>
      <c r="E111">
        <f>C111+$B$4*D111</f>
        <v>0</v>
      </c>
      <c r="F111">
        <f>$B$1*E111^(2/3) - $B$2*E111</f>
        <v>0</v>
      </c>
    </row>
    <row r="112" spans="1:6">
      <c r="A112">
        <f>A111+1</f>
        <v>0</v>
      </c>
      <c r="B112">
        <f>B111+$B$4</f>
        <v>0</v>
      </c>
      <c r="C112">
        <f>C111+$B$4/2*(D111+F111)</f>
        <v>0</v>
      </c>
      <c r="D112">
        <f>$B$1*C112^(2/3) - $B$2*C112</f>
        <v>0</v>
      </c>
      <c r="E112">
        <f>C112+$B$4*D112</f>
        <v>0</v>
      </c>
      <c r="F112">
        <f>$B$1*E112^(2/3) - $B$2*E112</f>
        <v>0</v>
      </c>
    </row>
    <row r="113" spans="1:6">
      <c r="A113">
        <f>A112+1</f>
        <v>0</v>
      </c>
      <c r="B113">
        <f>B112+$B$4</f>
        <v>0</v>
      </c>
      <c r="C113">
        <f>C112+$B$4/2*(D112+F112)</f>
        <v>0</v>
      </c>
      <c r="D113">
        <f>$B$1*C113^(2/3) - $B$2*C113</f>
        <v>0</v>
      </c>
      <c r="E113">
        <f>C113+$B$4*D113</f>
        <v>0</v>
      </c>
      <c r="F113">
        <f>$B$1*E113^(2/3) - $B$2*E113</f>
        <v>0</v>
      </c>
    </row>
    <row r="114" spans="1:6">
      <c r="A114">
        <f>A113+1</f>
        <v>0</v>
      </c>
      <c r="B114">
        <f>B113+$B$4</f>
        <v>0</v>
      </c>
      <c r="C114">
        <f>C113+$B$4/2*(D113+F113)</f>
        <v>0</v>
      </c>
      <c r="D114">
        <f>$B$1*C114^(2/3) - $B$2*C114</f>
        <v>0</v>
      </c>
      <c r="E114">
        <f>C114+$B$4*D114</f>
        <v>0</v>
      </c>
      <c r="F114">
        <f>$B$1*E114^(2/3) - $B$2*E114</f>
        <v>0</v>
      </c>
    </row>
    <row r="115" spans="1:6">
      <c r="A115">
        <f>A114+1</f>
        <v>0</v>
      </c>
      <c r="B115">
        <f>B114+$B$4</f>
        <v>0</v>
      </c>
      <c r="C115">
        <f>C114+$B$4/2*(D114+F114)</f>
        <v>0</v>
      </c>
      <c r="D115">
        <f>$B$1*C115^(2/3) - $B$2*C115</f>
        <v>0</v>
      </c>
      <c r="E115">
        <f>C115+$B$4*D115</f>
        <v>0</v>
      </c>
      <c r="F115">
        <f>$B$1*E115^(2/3) - $B$2*E115</f>
        <v>0</v>
      </c>
    </row>
    <row r="116" spans="1:6">
      <c r="A116">
        <f>A115+1</f>
        <v>0</v>
      </c>
      <c r="B116">
        <f>B115+$B$4</f>
        <v>0</v>
      </c>
      <c r="C116">
        <f>C115+$B$4/2*(D115+F115)</f>
        <v>0</v>
      </c>
      <c r="D116">
        <f>$B$1*C116^(2/3) - $B$2*C116</f>
        <v>0</v>
      </c>
      <c r="E116">
        <f>C116+$B$4*D116</f>
        <v>0</v>
      </c>
      <c r="F116">
        <f>$B$1*E116^(2/3) - $B$2*E116</f>
        <v>0</v>
      </c>
    </row>
    <row r="117" spans="1:6">
      <c r="A117">
        <f>A116+1</f>
        <v>0</v>
      </c>
      <c r="B117">
        <f>B116+$B$4</f>
        <v>0</v>
      </c>
      <c r="C117">
        <f>C116+$B$4/2*(D116+F116)</f>
        <v>0</v>
      </c>
      <c r="D117">
        <f>$B$1*C117^(2/3) - $B$2*C117</f>
        <v>0</v>
      </c>
      <c r="E117">
        <f>C117+$B$4*D117</f>
        <v>0</v>
      </c>
      <c r="F117">
        <f>$B$1*E117^(2/3) - $B$2*E117</f>
        <v>0</v>
      </c>
    </row>
    <row r="118" spans="1:6">
      <c r="A118">
        <f>A117+1</f>
        <v>0</v>
      </c>
      <c r="B118">
        <f>B117+$B$4</f>
        <v>0</v>
      </c>
      <c r="C118">
        <f>C117+$B$4/2*(D117+F117)</f>
        <v>0</v>
      </c>
      <c r="D118">
        <f>$B$1*C118^(2/3) - $B$2*C118</f>
        <v>0</v>
      </c>
      <c r="E118">
        <f>C118+$B$4*D118</f>
        <v>0</v>
      </c>
      <c r="F118">
        <f>$B$1*E118^(2/3) - $B$2*E118</f>
        <v>0</v>
      </c>
    </row>
    <row r="119" spans="1:6">
      <c r="A119">
        <f>A118+1</f>
        <v>0</v>
      </c>
      <c r="B119">
        <f>B118+$B$4</f>
        <v>0</v>
      </c>
      <c r="C119">
        <f>C118+$B$4/2*(D118+F118)</f>
        <v>0</v>
      </c>
      <c r="D119">
        <f>$B$1*C119^(2/3) - $B$2*C119</f>
        <v>0</v>
      </c>
      <c r="E119">
        <f>C119+$B$4*D119</f>
        <v>0</v>
      </c>
      <c r="F119">
        <f>$B$1*E119^(2/3) - $B$2*E119</f>
        <v>0</v>
      </c>
    </row>
    <row r="120" spans="1:6">
      <c r="A120">
        <f>A119+1</f>
        <v>0</v>
      </c>
      <c r="B120">
        <f>B119+$B$4</f>
        <v>0</v>
      </c>
      <c r="C120">
        <f>C119+$B$4/2*(D119+F119)</f>
        <v>0</v>
      </c>
      <c r="D120">
        <f>$B$1*C120^(2/3) - $B$2*C120</f>
        <v>0</v>
      </c>
      <c r="E120">
        <f>C120+$B$4*D120</f>
        <v>0</v>
      </c>
      <c r="F120">
        <f>$B$1*E120^(2/3) - $B$2*E120</f>
        <v>0</v>
      </c>
    </row>
    <row r="121" spans="1:6">
      <c r="A121">
        <f>A120+1</f>
        <v>0</v>
      </c>
      <c r="B121">
        <f>B120+$B$4</f>
        <v>0</v>
      </c>
      <c r="C121">
        <f>C120+$B$4/2*(D120+F120)</f>
        <v>0</v>
      </c>
      <c r="D121">
        <f>$B$1*C121^(2/3) - $B$2*C121</f>
        <v>0</v>
      </c>
      <c r="E121">
        <f>C121+$B$4*D121</f>
        <v>0</v>
      </c>
      <c r="F121">
        <f>$B$1*E121^(2/3) - $B$2*E121</f>
        <v>0</v>
      </c>
    </row>
    <row r="122" spans="1:6">
      <c r="A122">
        <f>A121+1</f>
        <v>0</v>
      </c>
      <c r="B122">
        <f>B121+$B$4</f>
        <v>0</v>
      </c>
      <c r="C122">
        <f>C121+$B$4/2*(D121+F121)</f>
        <v>0</v>
      </c>
      <c r="D122">
        <f>$B$1*C122^(2/3) - $B$2*C122</f>
        <v>0</v>
      </c>
      <c r="E122">
        <f>C122+$B$4*D122</f>
        <v>0</v>
      </c>
      <c r="F122">
        <f>$B$1*E122^(2/3) - $B$2*E122</f>
        <v>0</v>
      </c>
    </row>
    <row r="123" spans="1:6">
      <c r="A123">
        <f>A122+1</f>
        <v>0</v>
      </c>
      <c r="B123">
        <f>B122+$B$4</f>
        <v>0</v>
      </c>
      <c r="C123">
        <f>C122+$B$4/2*(D122+F122)</f>
        <v>0</v>
      </c>
      <c r="D123">
        <f>$B$1*C123^(2/3) - $B$2*C123</f>
        <v>0</v>
      </c>
      <c r="E123">
        <f>C123+$B$4*D123</f>
        <v>0</v>
      </c>
      <c r="F123">
        <f>$B$1*E123^(2/3) - $B$2*E123</f>
        <v>0</v>
      </c>
    </row>
    <row r="124" spans="1:6">
      <c r="A124">
        <f>A123+1</f>
        <v>0</v>
      </c>
      <c r="B124">
        <f>B123+$B$4</f>
        <v>0</v>
      </c>
      <c r="C124">
        <f>C123+$B$4/2*(D123+F123)</f>
        <v>0</v>
      </c>
      <c r="D124">
        <f>$B$1*C124^(2/3) - $B$2*C124</f>
        <v>0</v>
      </c>
      <c r="E124">
        <f>C124+$B$4*D124</f>
        <v>0</v>
      </c>
      <c r="F124">
        <f>$B$1*E124^(2/3) - $B$2*E124</f>
        <v>0</v>
      </c>
    </row>
    <row r="125" spans="1:6">
      <c r="A125">
        <f>A124+1</f>
        <v>0</v>
      </c>
      <c r="B125">
        <f>B124+$B$4</f>
        <v>0</v>
      </c>
      <c r="C125">
        <f>C124+$B$4/2*(D124+F124)</f>
        <v>0</v>
      </c>
      <c r="D125">
        <f>$B$1*C125^(2/3) - $B$2*C125</f>
        <v>0</v>
      </c>
      <c r="E125">
        <f>C125+$B$4*D125</f>
        <v>0</v>
      </c>
      <c r="F125">
        <f>$B$1*E125^(2/3) - $B$2*E125</f>
        <v>0</v>
      </c>
    </row>
    <row r="126" spans="1:6">
      <c r="A126">
        <f>A125+1</f>
        <v>0</v>
      </c>
      <c r="B126">
        <f>B125+$B$4</f>
        <v>0</v>
      </c>
      <c r="C126">
        <f>C125+$B$4/2*(D125+F125)</f>
        <v>0</v>
      </c>
      <c r="D126">
        <f>$B$1*C126^(2/3) - $B$2*C126</f>
        <v>0</v>
      </c>
      <c r="E126">
        <f>C126+$B$4*D126</f>
        <v>0</v>
      </c>
      <c r="F126">
        <f>$B$1*E126^(2/3) - $B$2*E126</f>
        <v>0</v>
      </c>
    </row>
    <row r="127" spans="1:6">
      <c r="A127">
        <f>A126+1</f>
        <v>0</v>
      </c>
      <c r="B127">
        <f>B126+$B$4</f>
        <v>0</v>
      </c>
      <c r="C127">
        <f>C126+$B$4/2*(D126+F126)</f>
        <v>0</v>
      </c>
      <c r="D127">
        <f>$B$1*C127^(2/3) - $B$2*C127</f>
        <v>0</v>
      </c>
      <c r="E127">
        <f>C127+$B$4*D127</f>
        <v>0</v>
      </c>
      <c r="F127">
        <f>$B$1*E127^(2/3) - $B$2*E127</f>
        <v>0</v>
      </c>
    </row>
    <row r="128" spans="1:6">
      <c r="A128">
        <f>A127+1</f>
        <v>0</v>
      </c>
      <c r="B128">
        <f>B127+$B$4</f>
        <v>0</v>
      </c>
      <c r="C128">
        <f>C127+$B$4/2*(D127+F127)</f>
        <v>0</v>
      </c>
      <c r="D128">
        <f>$B$1*C128^(2/3) - $B$2*C128</f>
        <v>0</v>
      </c>
      <c r="E128">
        <f>C128+$B$4*D128</f>
        <v>0</v>
      </c>
      <c r="F128">
        <f>$B$1*E128^(2/3) - $B$2*E128</f>
        <v>0</v>
      </c>
    </row>
    <row r="129" spans="1:6">
      <c r="A129">
        <f>A128+1</f>
        <v>0</v>
      </c>
      <c r="B129">
        <f>B128+$B$4</f>
        <v>0</v>
      </c>
      <c r="C129">
        <f>C128+$B$4/2*(D128+F128)</f>
        <v>0</v>
      </c>
      <c r="D129">
        <f>$B$1*C129^(2/3) - $B$2*C129</f>
        <v>0</v>
      </c>
      <c r="E129">
        <f>C129+$B$4*D129</f>
        <v>0</v>
      </c>
      <c r="F129">
        <f>$B$1*E129^(2/3) - $B$2*E129</f>
        <v>0</v>
      </c>
    </row>
    <row r="130" spans="1:6">
      <c r="A130">
        <f>A129+1</f>
        <v>0</v>
      </c>
      <c r="B130">
        <f>B129+$B$4</f>
        <v>0</v>
      </c>
      <c r="C130">
        <f>C129+$B$4/2*(D129+F129)</f>
        <v>0</v>
      </c>
      <c r="D130">
        <f>$B$1*C130^(2/3) - $B$2*C130</f>
        <v>0</v>
      </c>
      <c r="E130">
        <f>C130+$B$4*D130</f>
        <v>0</v>
      </c>
      <c r="F130">
        <f>$B$1*E130^(2/3) - $B$2*E130</f>
        <v>0</v>
      </c>
    </row>
    <row r="131" spans="1:6">
      <c r="A131">
        <f>A130+1</f>
        <v>0</v>
      </c>
      <c r="B131">
        <f>B130+$B$4</f>
        <v>0</v>
      </c>
      <c r="C131">
        <f>C130+$B$4/2*(D130+F130)</f>
        <v>0</v>
      </c>
      <c r="D131">
        <f>$B$1*C131^(2/3) - $B$2*C131</f>
        <v>0</v>
      </c>
      <c r="E131">
        <f>C131+$B$4*D131</f>
        <v>0</v>
      </c>
      <c r="F131">
        <f>$B$1*E131^(2/3) - $B$2*E131</f>
        <v>0</v>
      </c>
    </row>
    <row r="132" spans="1:6">
      <c r="A132">
        <f>A131+1</f>
        <v>0</v>
      </c>
      <c r="B132">
        <f>B131+$B$4</f>
        <v>0</v>
      </c>
      <c r="C132">
        <f>C131+$B$4/2*(D131+F131)</f>
        <v>0</v>
      </c>
      <c r="D132">
        <f>$B$1*C132^(2/3) - $B$2*C132</f>
        <v>0</v>
      </c>
      <c r="E132">
        <f>C132+$B$4*D132</f>
        <v>0</v>
      </c>
      <c r="F132">
        <f>$B$1*E132^(2/3) - $B$2*E132</f>
        <v>0</v>
      </c>
    </row>
    <row r="133" spans="1:6">
      <c r="A133">
        <f>A132+1</f>
        <v>0</v>
      </c>
      <c r="B133">
        <f>B132+$B$4</f>
        <v>0</v>
      </c>
      <c r="C133">
        <f>C132+$B$4/2*(D132+F132)</f>
        <v>0</v>
      </c>
      <c r="D133">
        <f>$B$1*C133^(2/3) - $B$2*C133</f>
        <v>0</v>
      </c>
      <c r="E133">
        <f>C133+$B$4*D133</f>
        <v>0</v>
      </c>
      <c r="F133">
        <f>$B$1*E133^(2/3) - $B$2*E133</f>
        <v>0</v>
      </c>
    </row>
    <row r="134" spans="1:6">
      <c r="A134">
        <f>A133+1</f>
        <v>0</v>
      </c>
      <c r="B134">
        <f>B133+$B$4</f>
        <v>0</v>
      </c>
      <c r="C134">
        <f>C133+$B$4/2*(D133+F133)</f>
        <v>0</v>
      </c>
      <c r="D134">
        <f>$B$1*C134^(2/3) - $B$2*C134</f>
        <v>0</v>
      </c>
      <c r="E134">
        <f>C134+$B$4*D134</f>
        <v>0</v>
      </c>
      <c r="F134">
        <f>$B$1*E134^(2/3) - $B$2*E134</f>
        <v>0</v>
      </c>
    </row>
    <row r="135" spans="1:6">
      <c r="A135">
        <f>A134+1</f>
        <v>0</v>
      </c>
      <c r="B135">
        <f>B134+$B$4</f>
        <v>0</v>
      </c>
      <c r="C135">
        <f>C134+$B$4/2*(D134+F134)</f>
        <v>0</v>
      </c>
      <c r="D135">
        <f>$B$1*C135^(2/3) - $B$2*C135</f>
        <v>0</v>
      </c>
      <c r="E135">
        <f>C135+$B$4*D135</f>
        <v>0</v>
      </c>
      <c r="F135">
        <f>$B$1*E135^(2/3) - $B$2*E135</f>
        <v>0</v>
      </c>
    </row>
    <row r="136" spans="1:6">
      <c r="A136">
        <f>A135+1</f>
        <v>0</v>
      </c>
      <c r="B136">
        <f>B135+$B$4</f>
        <v>0</v>
      </c>
      <c r="C136">
        <f>C135+$B$4/2*(D135+F135)</f>
        <v>0</v>
      </c>
      <c r="D136">
        <f>$B$1*C136^(2/3) - $B$2*C136</f>
        <v>0</v>
      </c>
      <c r="E136">
        <f>C136+$B$4*D136</f>
        <v>0</v>
      </c>
      <c r="F136">
        <f>$B$1*E136^(2/3) - $B$2*E136</f>
        <v>0</v>
      </c>
    </row>
    <row r="137" spans="1:6">
      <c r="A137">
        <f>A136+1</f>
        <v>0</v>
      </c>
      <c r="B137">
        <f>B136+$B$4</f>
        <v>0</v>
      </c>
      <c r="C137">
        <f>C136+$B$4/2*(D136+F136)</f>
        <v>0</v>
      </c>
      <c r="D137">
        <f>$B$1*C137^(2/3) - $B$2*C137</f>
        <v>0</v>
      </c>
      <c r="E137">
        <f>C137+$B$4*D137</f>
        <v>0</v>
      </c>
      <c r="F137">
        <f>$B$1*E137^(2/3) - $B$2*E137</f>
        <v>0</v>
      </c>
    </row>
    <row r="138" spans="1:6">
      <c r="A138">
        <f>A137+1</f>
        <v>0</v>
      </c>
      <c r="B138">
        <f>B137+$B$4</f>
        <v>0</v>
      </c>
      <c r="C138">
        <f>C137+$B$4/2*(D137+F137)</f>
        <v>0</v>
      </c>
      <c r="D138">
        <f>$B$1*C138^(2/3) - $B$2*C138</f>
        <v>0</v>
      </c>
      <c r="E138">
        <f>C138+$B$4*D138</f>
        <v>0</v>
      </c>
      <c r="F138">
        <f>$B$1*E138^(2/3) - $B$2*E138</f>
        <v>0</v>
      </c>
    </row>
    <row r="139" spans="1:6">
      <c r="A139">
        <f>A138+1</f>
        <v>0</v>
      </c>
      <c r="B139">
        <f>B138+$B$4</f>
        <v>0</v>
      </c>
      <c r="C139">
        <f>C138+$B$4/2*(D138+F138)</f>
        <v>0</v>
      </c>
      <c r="D139">
        <f>$B$1*C139^(2/3) - $B$2*C139</f>
        <v>0</v>
      </c>
      <c r="E139">
        <f>C139+$B$4*D139</f>
        <v>0</v>
      </c>
      <c r="F139">
        <f>$B$1*E139^(2/3) - $B$2*E139</f>
        <v>0</v>
      </c>
    </row>
    <row r="140" spans="1:6">
      <c r="A140">
        <f>A139+1</f>
        <v>0</v>
      </c>
      <c r="B140">
        <f>B139+$B$4</f>
        <v>0</v>
      </c>
      <c r="C140">
        <f>C139+$B$4/2*(D139+F139)</f>
        <v>0</v>
      </c>
      <c r="D140">
        <f>$B$1*C140^(2/3) - $B$2*C140</f>
        <v>0</v>
      </c>
      <c r="E140">
        <f>C140+$B$4*D140</f>
        <v>0</v>
      </c>
      <c r="F140">
        <f>$B$1*E140^(2/3) - $B$2*E140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Ej41</vt:lpstr>
      <vt:lpstr>Ej35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2025-12-04T04:21:51Z</dcterms:created>
  <dcterms:modified xsi:type="dcterms:W3CDTF">2025-12-04T04:21:51Z</dcterms:modified>
</cp:coreProperties>
</file>